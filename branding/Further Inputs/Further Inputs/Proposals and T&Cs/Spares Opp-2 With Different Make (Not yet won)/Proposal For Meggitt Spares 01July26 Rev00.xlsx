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Objects="placeholders" codeName="ThisWorkbook" defaultThemeVersion="124226"/>
  <mc:AlternateContent xmlns:mc="http://schemas.openxmlformats.org/markup-compatibility/2006">
    <mc:Choice Requires="x15">
      <x15ac:absPath xmlns:x15ac="http://schemas.microsoft.com/office/spreadsheetml/2010/11/ac" url="https://modaeindia-my.sharepoint.com/personal/ruthvik_satish_mod-ae_com/Documents/Desktop/Betser Docs for Information Transfer/Further Inputs/Proposals T&amp;Cs &amp; Service Rate Sheet/Spares Opp-2 With Different Make (Not yet won)/"/>
    </mc:Choice>
  </mc:AlternateContent>
  <xr:revisionPtr revIDLastSave="9042" documentId="8_{D1044480-F111-D845-8D6C-9BA9EB7222DE}" xr6:coauthVersionLast="47" xr6:coauthVersionMax="47" xr10:uidLastSave="{DCE5E323-B2EB-423F-881D-69315D85758C}"/>
  <bookViews>
    <workbookView xWindow="-108" yWindow="-108" windowWidth="23256" windowHeight="13896" tabRatio="724" activeTab="1" xr2:uid="{00000000-000D-0000-FFFF-FFFF00000000}"/>
  </bookViews>
  <sheets>
    <sheet name="Cover Letter" sheetId="110" r:id="rId1"/>
    <sheet name="Rev-00" sheetId="111" r:id="rId2"/>
    <sheet name="Clarifications" sheetId="112" state="hidden" r:id="rId3"/>
    <sheet name="Sensor Comparison" sheetId="113" state="hidden"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A" localSheetId="0">#REF!</definedName>
    <definedName name="\A" localSheetId="3">#REF!</definedName>
    <definedName name="\A">#REF!</definedName>
    <definedName name="\P" localSheetId="0">#REF!</definedName>
    <definedName name="\P" localSheetId="3">#REF!</definedName>
    <definedName name="\P">#REF!</definedName>
    <definedName name="\Q" localSheetId="0">#REF!</definedName>
    <definedName name="\Q" localSheetId="3">#REF!</definedName>
    <definedName name="\Q">#REF!</definedName>
    <definedName name="_FIN2" localSheetId="0">#REF!</definedName>
    <definedName name="_FIN2" localSheetId="3">#REF!</definedName>
    <definedName name="_FIN2">#REF!</definedName>
    <definedName name="_Order1" hidden="1">255</definedName>
    <definedName name="_Order2" hidden="1">255</definedName>
    <definedName name="_REP01" localSheetId="0">#REF!</definedName>
    <definedName name="_REP01" localSheetId="3">#REF!</definedName>
    <definedName name="_REP01">#REF!</definedName>
    <definedName name="_REP02" localSheetId="0">#REF!</definedName>
    <definedName name="_REP02" localSheetId="3">#REF!</definedName>
    <definedName name="_REP02">#REF!</definedName>
    <definedName name="_REP03">#REF!</definedName>
    <definedName name="_REP04">#REF!</definedName>
    <definedName name="a" localSheetId="0" hidden="1">{#N/A,#N/A,FALSE,"BIDS";#N/A,#N/A,FALSE,"GEN"}</definedName>
    <definedName name="a" localSheetId="1" hidden="1">{#N/A,#N/A,FALSE,"BIDS";#N/A,#N/A,FALSE,"GEN"}</definedName>
    <definedName name="a" localSheetId="3" hidden="1">{#N/A,#N/A,FALSE,"BIDS";#N/A,#N/A,FALSE,"GEN"}</definedName>
    <definedName name="a" hidden="1">{#N/A,#N/A,FALSE,"BIDS";#N/A,#N/A,FALSE,"GEN"}</definedName>
    <definedName name="AI_HART">#REF!</definedName>
    <definedName name="AXIAL">#REF!</definedName>
    <definedName name="b" localSheetId="0">[1]PL!#REF!</definedName>
    <definedName name="b" localSheetId="1">[1]PL!#REF!</definedName>
    <definedName name="b" localSheetId="3">[1]PL!#REF!</definedName>
    <definedName name="b">[2]PL!#REF!</definedName>
    <definedName name="BASECONTRA" localSheetId="0">#REF!</definedName>
    <definedName name="BASECONTRA" localSheetId="3">#REF!</definedName>
    <definedName name="BASECONTRA">#REF!</definedName>
    <definedName name="BORDER2" localSheetId="0">#REF!</definedName>
    <definedName name="BORDER2" localSheetId="3">#REF!</definedName>
    <definedName name="BORDER2">#REF!</definedName>
    <definedName name="BORDER3" localSheetId="0">#REF!</definedName>
    <definedName name="BORDER3" localSheetId="3">#REF!</definedName>
    <definedName name="BORDER3">#REF!</definedName>
    <definedName name="CANAL_CASC._C.C">#REF!</definedName>
    <definedName name="CANAL_CASC._F.L">#REF!</definedName>
    <definedName name="CHANGE">#REF!</definedName>
    <definedName name="CLIENT" localSheetId="0">[3]Titles!$A$20</definedName>
    <definedName name="CLIENT" localSheetId="3">[3]Titles!$A$20</definedName>
    <definedName name="CLIENT">[3]Titles!$A$20</definedName>
    <definedName name="CM" localSheetId="0">#REF!</definedName>
    <definedName name="CM" localSheetId="1">#REF!</definedName>
    <definedName name="CM" localSheetId="3">#REF!</definedName>
    <definedName name="CM">#REF!</definedName>
    <definedName name="Code_Unit_02" localSheetId="0">#REF!</definedName>
    <definedName name="Code_Unit_02" localSheetId="3">#REF!</definedName>
    <definedName name="Code_Unit_02">#REF!</definedName>
    <definedName name="Code_Unit_03">#REF!</definedName>
    <definedName name="Code_Unit_04">#REF!</definedName>
    <definedName name="Code_Unit_05">#REF!</definedName>
    <definedName name="Code_Unit_06">#REF!</definedName>
    <definedName name="Code_Unit_07">#REF!</definedName>
    <definedName name="Code_Unit_08">#REF!</definedName>
    <definedName name="Code_Unit_09">#REF!</definedName>
    <definedName name="Code_Unit_10">#REF!</definedName>
    <definedName name="Code_Unit_11">#REF!</definedName>
    <definedName name="Code_Unit_12">#REF!</definedName>
    <definedName name="Code_Unit_13">#REF!</definedName>
    <definedName name="Code_Unit_14">#REF!</definedName>
    <definedName name="Coefficient_Breakeven" localSheetId="0">#REF!</definedName>
    <definedName name="Coefficient_Breakeven" localSheetId="1">#REF!</definedName>
    <definedName name="Coefficient_Breakeven" localSheetId="3">#REF!</definedName>
    <definedName name="Coefficient_Breakeven">#REF!</definedName>
    <definedName name="COPIE">#REF!</definedName>
    <definedName name="COPIE2">#REF!</definedName>
    <definedName name="cvu" localSheetId="0">[3]Titles!$A$34</definedName>
    <definedName name="cvu" localSheetId="3">[3]Titles!$A$34</definedName>
    <definedName name="cvu">[3]Titles!$A$34</definedName>
    <definedName name="d" localSheetId="0">[1]PL!#REF!</definedName>
    <definedName name="d" localSheetId="1">[1]PL!#REF!</definedName>
    <definedName name="d" localSheetId="3">[1]PL!#REF!</definedName>
    <definedName name="d">[2]PL!#REF!</definedName>
    <definedName name="_xlnm.Database" localSheetId="0">#REF!</definedName>
    <definedName name="_xlnm.Database" localSheetId="3">#REF!</definedName>
    <definedName name="_xlnm.Database">#REF!</definedName>
    <definedName name="DAVID" localSheetId="0">#REF!</definedName>
    <definedName name="DAVID" localSheetId="3">#REF!</definedName>
    <definedName name="DAVID">#REF!</definedName>
    <definedName name="DEL_TERMS" localSheetId="0">#REF!</definedName>
    <definedName name="DEL_TERMS" localSheetId="3">#REF!</definedName>
    <definedName name="DEL_TERMS">#REF!</definedName>
    <definedName name="DicountVM" localSheetId="0">#REF!</definedName>
    <definedName name="DicountVM" localSheetId="3">#REF!</definedName>
    <definedName name="DicountVM">#REF!</definedName>
    <definedName name="Discount" localSheetId="0">#REF!</definedName>
    <definedName name="Discount" localSheetId="1">#REF!</definedName>
    <definedName name="Discount" localSheetId="3">#REF!</definedName>
    <definedName name="Discount">#REF!</definedName>
    <definedName name="DO">#REF!</definedName>
    <definedName name="DOC_NO" localSheetId="0">[3]Titles!$A$22</definedName>
    <definedName name="DOC_NO" localSheetId="3">[3]Titles!$A$22</definedName>
    <definedName name="DOC_NO">[3]Titles!$A$22</definedName>
    <definedName name="e" localSheetId="0">[1]PL!#REF!</definedName>
    <definedName name="e" localSheetId="1">[1]PL!#REF!</definedName>
    <definedName name="e" localSheetId="3">[1]PL!#REF!</definedName>
    <definedName name="e">[2]PL!#REF!</definedName>
    <definedName name="EDIFICIO_10" localSheetId="0">#REF!</definedName>
    <definedName name="EDIFICIO_10" localSheetId="3">#REF!</definedName>
    <definedName name="EDIFICIO_10">#REF!</definedName>
    <definedName name="EDIFICIO_11" localSheetId="0">#REF!</definedName>
    <definedName name="EDIFICIO_11" localSheetId="3">#REF!</definedName>
    <definedName name="EDIFICIO_11">#REF!</definedName>
    <definedName name="EDIFICIO_15" localSheetId="0">#REF!</definedName>
    <definedName name="EDIFICIO_15" localSheetId="3">#REF!</definedName>
    <definedName name="EDIFICIO_15">#REF!</definedName>
    <definedName name="EDIFICIO_16">#REF!</definedName>
    <definedName name="EDIFICIO_18">#REF!</definedName>
    <definedName name="EDIFICIO_20">#REF!</definedName>
    <definedName name="EDIFICIO_30">#REF!</definedName>
    <definedName name="EMPRESA_1">#REF!</definedName>
    <definedName name="EMPRESA_2">#REF!</definedName>
    <definedName name="EMPRESA_3">#REF!</definedName>
    <definedName name="EMPRESA_4">#REF!</definedName>
    <definedName name="EMPRESA_5">#REF!</definedName>
    <definedName name="Erect_Unit_02">#REF!</definedName>
    <definedName name="Erect_Unit_03">#REF!</definedName>
    <definedName name="Erect_Unit_04">#REF!</definedName>
    <definedName name="Erect_Unit_05">#REF!</definedName>
    <definedName name="Erect_Unit_06">#REF!</definedName>
    <definedName name="Erect_Unit_07">#REF!</definedName>
    <definedName name="Erect_Unit_08">#REF!</definedName>
    <definedName name="Erect_Unit_09">#REF!</definedName>
    <definedName name="Erect_Unit_10">#REF!</definedName>
    <definedName name="Erect_Unit_11">#REF!</definedName>
    <definedName name="Erect_Unit_12">#REF!</definedName>
    <definedName name="Erect_Unit_13">#REF!</definedName>
    <definedName name="Erect_Unit_14">#REF!</definedName>
    <definedName name="EURO_Rate" localSheetId="0">#REF!</definedName>
    <definedName name="EURO_Rate" localSheetId="3">#REF!</definedName>
    <definedName name="EURO_Rate">#REF!</definedName>
    <definedName name="Euro_Rate1_CHF" localSheetId="0">#REF!</definedName>
    <definedName name="Euro_Rate1_CHF" localSheetId="1">#REF!</definedName>
    <definedName name="Euro_Rate1_CHF" localSheetId="3">#REF!</definedName>
    <definedName name="Euro_Rate1_CHF">#REF!</definedName>
    <definedName name="Euro_Rate1_USD" localSheetId="0">#REF!</definedName>
    <definedName name="Euro_Rate1_USD" localSheetId="1">#REF!</definedName>
    <definedName name="Euro_Rate1_USD" localSheetId="3">#REF!</definedName>
    <definedName name="Euro_Rate1_USD">#REF!</definedName>
    <definedName name="EURO_Rate2" localSheetId="0">#REF!</definedName>
    <definedName name="EURO_Rate2" localSheetId="1">#REF!</definedName>
    <definedName name="EURO_Rate2" localSheetId="3">#REF!</definedName>
    <definedName name="EURO_Rate2">#REF!</definedName>
    <definedName name="Euro_Rate2_CHF" localSheetId="0">#REF!</definedName>
    <definedName name="Euro_Rate2_CHF" localSheetId="1">#REF!</definedName>
    <definedName name="Euro_Rate2_CHF" localSheetId="3">#REF!</definedName>
    <definedName name="Euro_Rate2_CHF">#REF!</definedName>
    <definedName name="Euro_Rate2_USD" localSheetId="0">#REF!</definedName>
    <definedName name="Euro_Rate2_USD" localSheetId="1">#REF!</definedName>
    <definedName name="Euro_Rate2_USD" localSheetId="3">#REF!</definedName>
    <definedName name="Euro_Rate2_USD">#REF!</definedName>
    <definedName name="EURO_Rate3" localSheetId="0">#REF!</definedName>
    <definedName name="EURO_Rate3" localSheetId="1">#REF!</definedName>
    <definedName name="EURO_Rate3" localSheetId="3">#REF!</definedName>
    <definedName name="EURO_Rate3">#REF!</definedName>
    <definedName name="Euro_Rate3_CHF" localSheetId="0">#REF!</definedName>
    <definedName name="Euro_Rate3_CHF" localSheetId="1">#REF!</definedName>
    <definedName name="Euro_Rate3_CHF" localSheetId="3">#REF!</definedName>
    <definedName name="Euro_Rate3_CHF">#REF!</definedName>
    <definedName name="FIN">#REF!</definedName>
    <definedName name="FLOW">#REF!</definedName>
    <definedName name="ga">#REF!</definedName>
    <definedName name="Gas" localSheetId="0">#REF!</definedName>
    <definedName name="Gas" localSheetId="1">#REF!</definedName>
    <definedName name="Gas" localSheetId="3">#REF!</definedName>
    <definedName name="Gas">#REF!</definedName>
    <definedName name="GE_Monthly_Rate" localSheetId="0">'[4]Customer Information'!$K$11</definedName>
    <definedName name="GE_Monthly_Rate" localSheetId="1">'[4]Customer Information'!$K$11</definedName>
    <definedName name="GE_Monthly_Rate" localSheetId="3">'[4]Customer Information'!$K$11</definedName>
    <definedName name="GE_Monthly_Rate">'[5]Customer Information'!$K$11</definedName>
    <definedName name="Generator" localSheetId="0">#REF!</definedName>
    <definedName name="Generator" localSheetId="1">#REF!</definedName>
    <definedName name="Generator" localSheetId="3">#REF!</definedName>
    <definedName name="Generator">#REF!</definedName>
    <definedName name="h" localSheetId="0">[1]PL!#REF!</definedName>
    <definedName name="h" localSheetId="3">[1]PL!#REF!</definedName>
    <definedName name="h">[1]PL!#REF!</definedName>
    <definedName name="HORNO_TUNEL" localSheetId="0">#REF!</definedName>
    <definedName name="HORNO_TUNEL" localSheetId="3">#REF!</definedName>
    <definedName name="HORNO_TUNEL">#REF!</definedName>
    <definedName name="HTML_CodePage" hidden="1">1252</definedName>
    <definedName name="HTML_Control" localSheetId="0" hidden="1">{"'Foglio1'!$A$14:$Q$133","'Foglio1'!$A$1:$BI$150"}</definedName>
    <definedName name="HTML_Control" localSheetId="1" hidden="1">{"'Foglio1'!$A$14:$Q$133","'Foglio1'!$A$1:$BI$150"}</definedName>
    <definedName name="HTML_Control" localSheetId="3" hidden="1">{"'Foglio1'!$A$14:$Q$133","'Foglio1'!$A$1:$BI$150"}</definedName>
    <definedName name="HTML_Control" hidden="1">{"'Foglio1'!$A$14:$Q$133","'Foglio1'!$A$1:$BI$150"}</definedName>
    <definedName name="HTML_Description" hidden="1">""</definedName>
    <definedName name="HTML_Email" hidden="1">""</definedName>
    <definedName name="HTML_Header" hidden="1">"Foglio1"</definedName>
    <definedName name="HTML_LastUpdate" hidden="1">"15/02/02"</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"C:\WINDOWS\Desktop\MioHTML.htm"</definedName>
    <definedName name="HTML_Title" hidden="1">"D"</definedName>
    <definedName name="INDEX">#REF!</definedName>
    <definedName name="J">#REF!</definedName>
    <definedName name="K">#REF!</definedName>
    <definedName name="KPH">#REF!</definedName>
    <definedName name="LEVE">#REF!</definedName>
    <definedName name="luInnerSealType" localSheetId="0">[6]Units!$A$1028:$A$2572</definedName>
    <definedName name="luInnerSealType" localSheetId="3">[6]Units!$A$1028:$A$2572</definedName>
    <definedName name="luInnerSealType">[6]Units!$A$1028:$A$2572</definedName>
    <definedName name="luPipingPlans" localSheetId="0">[6]Units!$A$87:$A$269</definedName>
    <definedName name="luPipingPlans" localSheetId="3">[6]Units!$A$87:$A$269</definedName>
    <definedName name="luPipingPlans">[6]Units!$A$87:$A$269</definedName>
    <definedName name="luSealAPICode" localSheetId="0">[6]Units!$A$271:$A$1026</definedName>
    <definedName name="luSealAPICode" localSheetId="3">[6]Units!$A$271:$A$1026</definedName>
    <definedName name="luSealAPICode">[6]Units!$A$271:$A$1026</definedName>
    <definedName name="MISC" localSheetId="0">#REF!</definedName>
    <definedName name="MISC" localSheetId="3">#REF!</definedName>
    <definedName name="MISC">#REF!</definedName>
    <definedName name="mod" localSheetId="0">[3]Titles!$A$24</definedName>
    <definedName name="mod" localSheetId="3">[3]Titles!$A$24</definedName>
    <definedName name="mod">[3]Titles!$A$24</definedName>
    <definedName name="MORTERO_PILAR" localSheetId="0">#REF!</definedName>
    <definedName name="MORTERO_PILAR" localSheetId="3">#REF!</definedName>
    <definedName name="MORTERO_PILAR">#REF!</definedName>
    <definedName name="O" localSheetId="0">#REF!</definedName>
    <definedName name="O" localSheetId="3">#REF!</definedName>
    <definedName name="O">#REF!</definedName>
    <definedName name="OFERTANTES" localSheetId="0">#REF!</definedName>
    <definedName name="OFERTANTES" localSheetId="3">#REF!</definedName>
    <definedName name="OFERTANTES">#REF!</definedName>
    <definedName name="p">#REF!</definedName>
    <definedName name="P.TOTAL">#REF!</definedName>
    <definedName name="PAGE">#REF!</definedName>
    <definedName name="PAGENB">#REF!</definedName>
    <definedName name="PAVIMENTOS">#REF!</definedName>
    <definedName name="PLANT" localSheetId="0">[3]Titles!$A$19</definedName>
    <definedName name="PLANT" localSheetId="3">[3]Titles!$A$19</definedName>
    <definedName name="PLANT">[3]Titles!$A$19</definedName>
    <definedName name="PRES" localSheetId="0">#REF!</definedName>
    <definedName name="PRES" localSheetId="3">#REF!</definedName>
    <definedName name="PRES">#REF!</definedName>
    <definedName name="Price_Unit_02" localSheetId="0">#REF!</definedName>
    <definedName name="Price_Unit_02" localSheetId="3">#REF!</definedName>
    <definedName name="Price_Unit_02">#REF!</definedName>
    <definedName name="Price_Unit_03" localSheetId="0">#REF!</definedName>
    <definedName name="Price_Unit_03" localSheetId="3">#REF!</definedName>
    <definedName name="Price_Unit_03">#REF!</definedName>
    <definedName name="Price_Unit_04">#REF!</definedName>
    <definedName name="Price_Unit_05">#REF!</definedName>
    <definedName name="Price_Unit_06">#REF!</definedName>
    <definedName name="Price_Unit_07">#REF!</definedName>
    <definedName name="Price_Unit_08">#REF!</definedName>
    <definedName name="Price_Unit_09">#REF!</definedName>
    <definedName name="Price_Unit_10">#REF!</definedName>
    <definedName name="Price_Unit_11">#REF!</definedName>
    <definedName name="Price_Unit_12">#REF!</definedName>
    <definedName name="Price_Unit_13">#REF!</definedName>
    <definedName name="Price_Unit_14">#REF!</definedName>
    <definedName name="_xlnm.Print_Area" localSheetId="0">'Cover Letter'!$A$1:$R$23</definedName>
    <definedName name="_xlnm.Print_Area" localSheetId="1">'Rev-00'!$A$1:$K$41</definedName>
    <definedName name="_xlnm.Print_Area" localSheetId="3">'Sensor Comparison'!$A$1:$F$68</definedName>
    <definedName name="PRINT1" localSheetId="0">#REF!</definedName>
    <definedName name="PRINT1" localSheetId="3">#REF!</definedName>
    <definedName name="PRINT1">#REF!</definedName>
    <definedName name="PRINT2" localSheetId="0">#REF!</definedName>
    <definedName name="PRINT2" localSheetId="3">#REF!</definedName>
    <definedName name="PRINT2">#REF!</definedName>
    <definedName name="PRINT3" localSheetId="0">#REF!</definedName>
    <definedName name="PRINT3" localSheetId="3">#REF!</definedName>
    <definedName name="PRINT3">#REF!</definedName>
    <definedName name="PRINT4">#REF!</definedName>
    <definedName name="PROJECT" localSheetId="0">[3]Titles!$A$21</definedName>
    <definedName name="PROJECT" localSheetId="3">[3]Titles!$A$21</definedName>
    <definedName name="PROJECT">[3]Titles!$A$21</definedName>
    <definedName name="pu" localSheetId="0">[3]Titles!$A$28</definedName>
    <definedName name="pu" localSheetId="3">[3]Titles!$A$28</definedName>
    <definedName name="pu">[3]Titles!$A$28</definedName>
    <definedName name="PURCH_GROUP_DESC" localSheetId="0">#REF!</definedName>
    <definedName name="PURCH_GROUP_DESC" localSheetId="3">#REF!</definedName>
    <definedName name="PURCH_GROUP_DESC">#REF!</definedName>
    <definedName name="PURCH_PART" localSheetId="0">#REF!</definedName>
    <definedName name="PURCH_PART" localSheetId="3">#REF!</definedName>
    <definedName name="PURCH_PART">#REF!</definedName>
    <definedName name="PURCH_PARTS" localSheetId="0">#REF!</definedName>
    <definedName name="PURCH_PARTS" localSheetId="3">#REF!</definedName>
    <definedName name="PURCH_PARTS">#REF!</definedName>
    <definedName name="PURCHASE_GROUP">#REF!</definedName>
    <definedName name="PURCHASE_GROUPS">#REF!</definedName>
    <definedName name="PURCHASE_PART">#REF!</definedName>
    <definedName name="PURCHASE_PARTS">#REF!</definedName>
    <definedName name="Qty_Unit_02">#REF!</definedName>
    <definedName name="Qty_Unit_03">#REF!</definedName>
    <definedName name="Qty_Unit_04">#REF!</definedName>
    <definedName name="Qty_Unit_05">#REF!</definedName>
    <definedName name="Qty_Unit_06">#REF!</definedName>
    <definedName name="Qty_Unit_07">#REF!</definedName>
    <definedName name="Qty_Unit_08">#REF!</definedName>
    <definedName name="Qty_Unit_09">#REF!</definedName>
    <definedName name="Qty_Unit_10">#REF!</definedName>
    <definedName name="Qty_Unit_11">#REF!</definedName>
    <definedName name="Qty_Unit_12">#REF!</definedName>
    <definedName name="Qty_Unit_13">#REF!</definedName>
    <definedName name="Qty_Unit_14">#REF!</definedName>
    <definedName name="RADIAL">#REF!</definedName>
    <definedName name="RANGE01">#REF!</definedName>
    <definedName name="RANGE02">#REF!</definedName>
    <definedName name="RANGE03">#REF!</definedName>
    <definedName name="RESUMEN">#REF!</definedName>
    <definedName name="REV" localSheetId="0">[3]FRONTE!$AE$56</definedName>
    <definedName name="REV" localSheetId="3">[3]FRONTE!$AE$56</definedName>
    <definedName name="REV">[3]FRONTE!$AE$56</definedName>
    <definedName name="ROD_DROP" localSheetId="0">#REF!</definedName>
    <definedName name="ROD_DROP" localSheetId="3">#REF!</definedName>
    <definedName name="ROD_DROP">#REF!</definedName>
    <definedName name="RTD" localSheetId="0">#REF!</definedName>
    <definedName name="RTD" localSheetId="3">#REF!</definedName>
    <definedName name="RTD">#REF!</definedName>
    <definedName name="s" localSheetId="0">[1]PL!#REF!</definedName>
    <definedName name="s" localSheetId="1">[1]PL!#REF!</definedName>
    <definedName name="s" localSheetId="3">[1]PL!#REF!</definedName>
    <definedName name="s">[2]PL!#REF!</definedName>
    <definedName name="SEISMIC" localSheetId="0">#REF!</definedName>
    <definedName name="SEISMIC" localSheetId="3">#REF!</definedName>
    <definedName name="SEISMIC">#REF!</definedName>
    <definedName name="SHEET" localSheetId="0">[3]Titles!$A$23</definedName>
    <definedName name="SHEET" localSheetId="3">[3]Titles!$A$23</definedName>
    <definedName name="SHEET">[3]Titles!$A$23</definedName>
    <definedName name="Steam" localSheetId="0">#REF!</definedName>
    <definedName name="Steam" localSheetId="1">#REF!</definedName>
    <definedName name="Steam" localSheetId="3">#REF!</definedName>
    <definedName name="Steam">#REF!</definedName>
    <definedName name="Summary">[1]PL!#REF!</definedName>
    <definedName name="SYSTEM" localSheetId="0">#REF!</definedName>
    <definedName name="SYSTEM" localSheetId="3">#REF!</definedName>
    <definedName name="SYSTEM">#REF!</definedName>
    <definedName name="t" localSheetId="0">[1]PL!#REF!</definedName>
    <definedName name="t" localSheetId="1">[1]PL!#REF!</definedName>
    <definedName name="t" localSheetId="3">[1]PL!#REF!</definedName>
    <definedName name="t">[2]PL!#REF!</definedName>
    <definedName name="T._CILINDROS" localSheetId="0">#REF!</definedName>
    <definedName name="T._CILINDROS" localSheetId="3">#REF!</definedName>
    <definedName name="T._CILINDROS">#REF!</definedName>
    <definedName name="tab" localSheetId="0">#REF!</definedName>
    <definedName name="tab" localSheetId="3">#REF!</definedName>
    <definedName name="tab">#REF!</definedName>
    <definedName name="table1" localSheetId="0">#REF!</definedName>
    <definedName name="table1" localSheetId="3">#REF!</definedName>
    <definedName name="table1">#REF!</definedName>
    <definedName name="table2">#REF!</definedName>
    <definedName name="table3">#REF!</definedName>
    <definedName name="table4">#REF!</definedName>
    <definedName name="test">#REF!</definedName>
    <definedName name="test1">#REF!</definedName>
    <definedName name="test3">[7]UoM!$A$2:$A$8</definedName>
    <definedName name="tra">[8]PL!#REF!</definedName>
    <definedName name="Trans" localSheetId="0">#REF!</definedName>
    <definedName name="Trans" localSheetId="3">#REF!</definedName>
    <definedName name="Trans">#REF!</definedName>
    <definedName name="Trans_101283_AATable" localSheetId="0">[1]PL!#REF!</definedName>
    <definedName name="Trans_101283_AATable" localSheetId="1">[1]PL!#REF!</definedName>
    <definedName name="Trans_101283_AATable" localSheetId="3">[1]PL!#REF!</definedName>
    <definedName name="Trans_101283_AATable">[2]PL!#REF!</definedName>
    <definedName name="Trans_134577_AATable" localSheetId="0">[1]PL!#REF!</definedName>
    <definedName name="Trans_134577_AATable" localSheetId="1">[1]PL!#REF!</definedName>
    <definedName name="Trans_134577_AATable" localSheetId="3">[1]PL!#REF!</definedName>
    <definedName name="Trans_134577_AATable">[2]PL!#REF!</definedName>
    <definedName name="Trans_134835_AATable" localSheetId="0">[1]PL!#REF!</definedName>
    <definedName name="Trans_134835_AATable" localSheetId="1">[1]PL!#REF!</definedName>
    <definedName name="Trans_134835_AATable" localSheetId="3">[1]PL!#REF!</definedName>
    <definedName name="Trans_134835_AATable">[2]PL!#REF!</definedName>
    <definedName name="Trans_136540_AATable" localSheetId="0">[1]PL!#REF!</definedName>
    <definedName name="Trans_136540_AATable" localSheetId="1">[1]PL!#REF!</definedName>
    <definedName name="Trans_136540_AATable" localSheetId="3">[1]PL!#REF!</definedName>
    <definedName name="Trans_136540_AATable">[2]PL!#REF!</definedName>
    <definedName name="Trans_137936_AATable" localSheetId="0">[1]PL!#REF!</definedName>
    <definedName name="Trans_137936_AATable" localSheetId="1">[1]PL!#REF!</definedName>
    <definedName name="Trans_137936_AATable" localSheetId="3">[1]PL!#REF!</definedName>
    <definedName name="Trans_137936_AATable">[2]PL!#REF!</definedName>
    <definedName name="Trans_137937_AATable" localSheetId="0">[1]PL!#REF!</definedName>
    <definedName name="Trans_137937_AATable" localSheetId="1">[1]PL!#REF!</definedName>
    <definedName name="Trans_137937_AATable" localSheetId="3">[1]PL!#REF!</definedName>
    <definedName name="Trans_137937_AATable">[2]PL!#REF!</definedName>
    <definedName name="Trans_138724_AATable" localSheetId="0">[1]PL!#REF!</definedName>
    <definedName name="Trans_138724_AATable" localSheetId="1">[1]PL!#REF!</definedName>
    <definedName name="Trans_138724_AATable" localSheetId="3">[1]PL!#REF!</definedName>
    <definedName name="Trans_138724_AATable">[2]PL!#REF!</definedName>
    <definedName name="Trans_138730_AATable" localSheetId="0">[1]PL!#REF!</definedName>
    <definedName name="Trans_138730_AATable" localSheetId="1">[1]PL!#REF!</definedName>
    <definedName name="Trans_138730_AATable" localSheetId="3">[1]PL!#REF!</definedName>
    <definedName name="Trans_138730_AATable">[2]PL!#REF!</definedName>
    <definedName name="Trans_138751_AATable" localSheetId="0">[1]PL!#REF!</definedName>
    <definedName name="Trans_138751_AATable" localSheetId="1">[1]PL!#REF!</definedName>
    <definedName name="Trans_138751_AATable" localSheetId="3">[1]PL!#REF!</definedName>
    <definedName name="Trans_138751_AATable">[2]PL!#REF!</definedName>
    <definedName name="Trans_147922_AATable" localSheetId="0">[1]PL!#REF!</definedName>
    <definedName name="Trans_147922_AATable" localSheetId="1">[1]PL!#REF!</definedName>
    <definedName name="Trans_147922_AATable" localSheetId="3">[1]PL!#REF!</definedName>
    <definedName name="Trans_147922_AATable">[2]PL!#REF!</definedName>
    <definedName name="Trans_148731_AATable" localSheetId="0">[1]PL!#REF!</definedName>
    <definedName name="Trans_148731_AATable" localSheetId="1">[1]PL!#REF!</definedName>
    <definedName name="Trans_148731_AATable" localSheetId="3">[1]PL!#REF!</definedName>
    <definedName name="Trans_148731_AATable">[2]PL!#REF!</definedName>
    <definedName name="Trans_148732_AATable" localSheetId="0">[1]PL!#REF!</definedName>
    <definedName name="Trans_148732_AATable" localSheetId="1">[1]PL!#REF!</definedName>
    <definedName name="Trans_148732_AATable" localSheetId="3">[1]PL!#REF!</definedName>
    <definedName name="Trans_148732_AATable">[2]PL!#REF!</definedName>
    <definedName name="Trans_161961_AATable" localSheetId="0">[1]PL!#REF!</definedName>
    <definedName name="Trans_161961_AATable" localSheetId="1">[1]PL!#REF!</definedName>
    <definedName name="Trans_161961_AATable" localSheetId="3">[1]PL!#REF!</definedName>
    <definedName name="Trans_161961_AATable">[2]PL!#REF!</definedName>
    <definedName name="Trans_163176_AATable" localSheetId="0">[1]PL!#REF!</definedName>
    <definedName name="Trans_163176_AATable" localSheetId="1">[1]PL!#REF!</definedName>
    <definedName name="Trans_163176_AATable" localSheetId="3">[1]PL!#REF!</definedName>
    <definedName name="Trans_163176_AATable">[2]PL!#REF!</definedName>
    <definedName name="Trans_164327_AATable" localSheetId="0">[1]PL!#REF!</definedName>
    <definedName name="Trans_164327_AATable" localSheetId="1">[1]PL!#REF!</definedName>
    <definedName name="Trans_164327_AATable" localSheetId="3">[1]PL!#REF!</definedName>
    <definedName name="Trans_164327_AATable">[2]PL!#REF!</definedName>
    <definedName name="Trans_164466_AATable" localSheetId="0">[1]PL!#REF!</definedName>
    <definedName name="Trans_164466_AATable" localSheetId="1">[1]PL!#REF!</definedName>
    <definedName name="Trans_164466_AATable" localSheetId="3">[1]PL!#REF!</definedName>
    <definedName name="Trans_164466_AATable">[2]PL!#REF!</definedName>
    <definedName name="Trans_330152_AATable" localSheetId="0">[1]PL!#REF!</definedName>
    <definedName name="Trans_330152_AATable" localSheetId="1">[1]PL!#REF!</definedName>
    <definedName name="Trans_330152_AATable" localSheetId="3">[1]PL!#REF!</definedName>
    <definedName name="Trans_330152_AATable">[2]PL!#REF!</definedName>
    <definedName name="Trans_330900_AATable" localSheetId="0">[1]PL!#REF!</definedName>
    <definedName name="Trans_330900_AATable" localSheetId="1">[1]PL!#REF!</definedName>
    <definedName name="Trans_330900_AATable" localSheetId="3">[1]PL!#REF!</definedName>
    <definedName name="Trans_330900_AATable">[2]PL!#REF!</definedName>
    <definedName name="tu" localSheetId="0">[3]Titles!$A$27</definedName>
    <definedName name="tu" localSheetId="3">[3]Titles!$A$27</definedName>
    <definedName name="tu">[3]Titles!$A$27</definedName>
    <definedName name="U010_IO" localSheetId="0">#REF!</definedName>
    <definedName name="U010_IO" localSheetId="3">#REF!</definedName>
    <definedName name="U010_IO">#REF!</definedName>
    <definedName name="U011_IO" localSheetId="0">#REF!</definedName>
    <definedName name="U011_IO" localSheetId="3">#REF!</definedName>
    <definedName name="U011_IO">#REF!</definedName>
    <definedName name="U012_IO" localSheetId="0">#REF!</definedName>
    <definedName name="U012_IO" localSheetId="3">#REF!</definedName>
    <definedName name="U012_IO">#REF!</definedName>
    <definedName name="U017_IO">#REF!</definedName>
    <definedName name="U019_IO">#REF!</definedName>
    <definedName name="U085_IO">#REF!</definedName>
    <definedName name="UNIT">#REF!</definedName>
    <definedName name="UoM">#REF!</definedName>
    <definedName name="us">#REF!</definedName>
    <definedName name="USD_Rate1_CHF" localSheetId="0">#REF!</definedName>
    <definedName name="USD_Rate1_CHF" localSheetId="1">#REF!</definedName>
    <definedName name="USD_Rate1_CHF" localSheetId="3">#REF!</definedName>
    <definedName name="USD_Rate1_CHF">#REF!</definedName>
    <definedName name="USD_Rate2_CHF" localSheetId="0">#REF!</definedName>
    <definedName name="USD_Rate2_CHF" localSheetId="1">#REF!</definedName>
    <definedName name="USD_Rate2_CHF" localSheetId="3">#REF!</definedName>
    <definedName name="USD_Rate2_CHF">#REF!</definedName>
    <definedName name="usuduhduhdu" localSheetId="0" hidden="1">{#N/A,#N/A,FALSE,"BIDS";#N/A,#N/A,FALSE,"GEN"}</definedName>
    <definedName name="usuduhduhdu" localSheetId="1" hidden="1">{#N/A,#N/A,FALSE,"BIDS";#N/A,#N/A,FALSE,"GEN"}</definedName>
    <definedName name="usuduhduhdu" localSheetId="3" hidden="1">{#N/A,#N/A,FALSE,"BIDS";#N/A,#N/A,FALSE,"GEN"}</definedName>
    <definedName name="usuduhduhdu" hidden="1">{#N/A,#N/A,FALSE,"BIDS";#N/A,#N/A,FALSE,"GEN"}</definedName>
    <definedName name="V">#REF!</definedName>
    <definedName name="VIGA_RIOSTRA">#REF!</definedName>
    <definedName name="w" localSheetId="0">[1]PL!#REF!</definedName>
    <definedName name="w" localSheetId="1">[1]PL!#REF!</definedName>
    <definedName name="w" localSheetId="3">[1]PL!#REF!</definedName>
    <definedName name="w">[2]PL!#REF!</definedName>
    <definedName name="wrn.PPW." localSheetId="0" hidden="1">{#N/A,#N/A,FALSE,"BIDS";#N/A,#N/A,FALSE,"GEN"}</definedName>
    <definedName name="wrn.PPW." localSheetId="1" hidden="1">{#N/A,#N/A,FALSE,"BIDS";#N/A,#N/A,FALSE,"GEN"}</definedName>
    <definedName name="wrn.PPW." localSheetId="3" hidden="1">{#N/A,#N/A,FALSE,"BIDS";#N/A,#N/A,FALSE,"GEN"}</definedName>
    <definedName name="wrn.PPW." hidden="1">{#N/A,#N/A,FALSE,"BIDS";#N/A,#N/A,FALSE,"GEN"}</definedName>
    <definedName name="x" localSheetId="0" hidden="1">{#N/A,#N/A,FALSE,"BIDS";#N/A,#N/A,FALSE,"GEN"}</definedName>
    <definedName name="x" localSheetId="1" hidden="1">{#N/A,#N/A,FALSE,"BIDS";#N/A,#N/A,FALSE,"GEN"}</definedName>
    <definedName name="x" localSheetId="3" hidden="1">{#N/A,#N/A,FALSE,"BIDS";#N/A,#N/A,FALSE,"GEN"}</definedName>
    <definedName name="x" hidden="1">{#N/A,#N/A,FALSE,"BIDS";#N/A,#N/A,FALSE,"GEN"}</definedName>
    <definedName name="xs">[8]PL!#REF!</definedName>
    <definedName name="y" localSheetId="0">[1]PL!#REF!</definedName>
    <definedName name="y" localSheetId="1">[1]PL!#REF!</definedName>
    <definedName name="y" localSheetId="3">[1]PL!#REF!</definedName>
    <definedName name="y">[2]PL!#REF!</definedName>
    <definedName name="ZONA_10" localSheetId="0">#REF!</definedName>
    <definedName name="ZONA_10" localSheetId="3">#REF!</definedName>
    <definedName name="ZONA_10">#REF!</definedName>
    <definedName name="ZONA_2" localSheetId="0">#REF!</definedName>
    <definedName name="ZONA_2" localSheetId="3">#REF!</definedName>
    <definedName name="ZONA_2">#REF!</definedName>
    <definedName name="ZONA_3" localSheetId="0">#REF!</definedName>
    <definedName name="ZONA_3" localSheetId="3">#REF!</definedName>
    <definedName name="ZONA_3">#REF!</definedName>
    <definedName name="ZONA_4">#REF!</definedName>
    <definedName name="ZONA_5">#REF!</definedName>
    <definedName name="ZONA_6">#REF!</definedName>
    <definedName name="ZONA_8">#REF!</definedName>
    <definedName name="ZONA_9">#REF!</definedName>
    <definedName name="zu" localSheetId="0">[3]Titles!$A$32</definedName>
    <definedName name="zu" localSheetId="3">[3]Titles!$A$32</definedName>
    <definedName name="zu">[3]Titles!$A$32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11" l="1"/>
  <c r="C15" i="111"/>
  <c r="R24" i="111" l="1"/>
  <c r="R25" i="111"/>
  <c r="R26" i="111"/>
  <c r="R27" i="111"/>
  <c r="R23" i="111"/>
  <c r="N5" i="111"/>
  <c r="O27" i="111" s="1"/>
  <c r="P27" i="111" s="1"/>
  <c r="R28" i="111" l="1"/>
  <c r="O23" i="111"/>
  <c r="M23" i="111" s="1"/>
  <c r="I23" i="111" s="1"/>
  <c r="O26" i="111"/>
  <c r="M26" i="111" s="1"/>
  <c r="O25" i="111"/>
  <c r="O24" i="111"/>
  <c r="M27" i="111"/>
  <c r="N27" i="111" s="1"/>
  <c r="M25" i="111" l="1"/>
  <c r="P25" i="111"/>
  <c r="M24" i="111"/>
  <c r="P24" i="111"/>
  <c r="P26" i="111"/>
  <c r="I27" i="111"/>
  <c r="J27" i="111" s="1"/>
  <c r="I26" i="111" l="1"/>
  <c r="J26" i="111" s="1"/>
  <c r="N26" i="111"/>
  <c r="I24" i="111"/>
  <c r="J24" i="111" s="1"/>
  <c r="N24" i="111"/>
  <c r="I25" i="111"/>
  <c r="J25" i="111" s="1"/>
  <c r="N25" i="111"/>
  <c r="P23" i="111"/>
  <c r="P28" i="111" s="1"/>
  <c r="P11" i="111"/>
  <c r="P12" i="111"/>
  <c r="P13" i="111"/>
  <c r="P14" i="111"/>
  <c r="P10" i="111"/>
  <c r="M10" i="111"/>
  <c r="I10" i="111" s="1"/>
  <c r="M11" i="111"/>
  <c r="N11" i="111" s="1"/>
  <c r="M12" i="111"/>
  <c r="N12" i="111" s="1"/>
  <c r="M13" i="111"/>
  <c r="N13" i="111" s="1"/>
  <c r="M14" i="111"/>
  <c r="N14" i="111" s="1"/>
  <c r="B6" i="111"/>
  <c r="P15" i="111" l="1"/>
  <c r="N23" i="111"/>
  <c r="J23" i="111"/>
  <c r="N10" i="111"/>
  <c r="I13" i="111"/>
  <c r="J13" i="111" s="1"/>
  <c r="J28" i="111" l="1"/>
  <c r="H28" i="111" s="1"/>
  <c r="N28" i="111"/>
  <c r="I11" i="111"/>
  <c r="J11" i="111" s="1"/>
  <c r="I14" i="111"/>
  <c r="J14" i="111" s="1"/>
  <c r="I12" i="111"/>
  <c r="J12" i="111" s="1"/>
  <c r="J10" i="111" l="1"/>
  <c r="N15" i="111"/>
  <c r="J15" i="111" l="1"/>
  <c r="H15" i="111" l="1"/>
</calcChain>
</file>

<file path=xl/sharedStrings.xml><?xml version="1.0" encoding="utf-8"?>
<sst xmlns="http://schemas.openxmlformats.org/spreadsheetml/2006/main" count="262" uniqueCount="179">
  <si>
    <t>Your Partners In Achieving Excellence</t>
  </si>
  <si>
    <t>Our Ref:</t>
  </si>
  <si>
    <t>2606213RS</t>
  </si>
  <si>
    <t>Bid Stage:</t>
  </si>
  <si>
    <t>Budgetary</t>
  </si>
  <si>
    <t>Bid Type:</t>
  </si>
  <si>
    <t>Priced</t>
  </si>
  <si>
    <t>Revision</t>
  </si>
  <si>
    <t>00</t>
  </si>
  <si>
    <t>Kind Attn:</t>
  </si>
  <si>
    <t>Subject:</t>
  </si>
  <si>
    <t xml:space="preserve">Spares Proposal For Meggitt Sensors &amp; Accessories
</t>
  </si>
  <si>
    <t>Dear Sir,</t>
  </si>
  <si>
    <t>We are pleased to submit our techno-commercial offer for your perusal &amp; approval. We trust that it aligns with your specifications and sincerely hope it meets your requirements.
We request for your kind consideration to our enclosed offer &amp; are open for you to provide us with any feedback that may help us improve our offering or serve you better.
It is our Endeavour to work very closely with an esteemed organization like yours and we look forward to a long &amp; mutually rewarding relationship.
Please let us know in case you need any other information or details.</t>
  </si>
  <si>
    <r>
      <t xml:space="preserve">Best Regards,
Ruthvik Satish
Solutions &amp; services engineer
VMS &amp; CMS Solutions
ModAE India Private Limited
Ph: +91 70228 45329
</t>
    </r>
    <r>
      <rPr>
        <sz val="12"/>
        <color rgb="FF3333FF"/>
        <rFont val="Candara"/>
        <family val="2"/>
      </rPr>
      <t xml:space="preserve">ruthvik.satish@mod-ae.com
</t>
    </r>
    <r>
      <rPr>
        <sz val="12"/>
        <rFont val="Candara"/>
        <family val="2"/>
      </rPr>
      <t xml:space="preserve">
</t>
    </r>
  </si>
  <si>
    <t>Commercial Parameters</t>
  </si>
  <si>
    <t>Euro- € Base</t>
  </si>
  <si>
    <t>Option-1: Meggitt</t>
  </si>
  <si>
    <t>Option-2 BK Vibro</t>
  </si>
  <si>
    <t>B&amp;K Disc%</t>
  </si>
  <si>
    <t>Input GM%</t>
  </si>
  <si>
    <t>CD+ Handl+ERV</t>
  </si>
  <si>
    <t>ModAE Costs</t>
  </si>
  <si>
    <r>
      <t>Eff. Rate-</t>
    </r>
    <r>
      <rPr>
        <b/>
        <sz val="11"/>
        <rFont val="Aptos Narrow"/>
        <family val="2"/>
      </rPr>
      <t>€</t>
    </r>
  </si>
  <si>
    <t>Offer Price</t>
  </si>
  <si>
    <t>Freight &amp; Ins.</t>
  </si>
  <si>
    <t>ModAE GM ₹</t>
  </si>
  <si>
    <t>Project GM%</t>
  </si>
  <si>
    <t>Option-1: Spare Meggitt Sensors &amp; Accessories</t>
  </si>
  <si>
    <t>Sl.</t>
  </si>
  <si>
    <t>RFQ Item</t>
  </si>
  <si>
    <t>Existing Meggitt Part Number</t>
  </si>
  <si>
    <t>Existing Meggitt Item/Part Description</t>
  </si>
  <si>
    <t>Proposed Meggitt Part Number</t>
  </si>
  <si>
    <t>Proposed Meggitt Item/Part Description</t>
  </si>
  <si>
    <t>Qty</t>
  </si>
  <si>
    <t>Unit Price ₹</t>
  </si>
  <si>
    <t>Total Price ₹</t>
  </si>
  <si>
    <t>Unit Cost ₹</t>
  </si>
  <si>
    <t>Total Cost ₹</t>
  </si>
  <si>
    <t>TQ402</t>
  </si>
  <si>
    <t>111-402-000-013-A1-B1-C200-D000-E010-F0-G000-H10</t>
  </si>
  <si>
    <t>TQ 402, 8 mm Standard Mount Proximity Probe with 1-meter integral cable, Body Length: 200 mm, 10 Metre System</t>
  </si>
  <si>
    <t>111-902-000-011-A1-B1-C200-D2-E1000-F0-G0-H10</t>
  </si>
  <si>
    <t>TQ 902, 8 mm Standard Mount Proximity Probe with 1-meter integral cable, Body Length: 200 mm, 10 Metre System</t>
  </si>
  <si>
    <t>IQS450</t>
  </si>
  <si>
    <t>204-450-000-001-A1-B21-H10-10</t>
  </si>
  <si>
    <t>IQS 450 Signal Conditioner, 8 mV/µm, 10 Meter System Length</t>
  </si>
  <si>
    <t>204-900-000-011-A1-B21-C1-H10-I0</t>
  </si>
  <si>
    <t>IQS 900 Signal Conditioner, 8 mV/µm, 10 Meter System Length</t>
  </si>
  <si>
    <t>EA402</t>
  </si>
  <si>
    <t>-</t>
  </si>
  <si>
    <t>EA402 Series Extension Cable, 09 Meter cable</t>
  </si>
  <si>
    <t>913-902-000-011-A1-E9000-F0-G0</t>
  </si>
  <si>
    <t>EA902 Series Extension Cable, 09 Meter cable</t>
  </si>
  <si>
    <t>111-402-000-012-A1-B1-C040-D000-E010-F0-G000-H10</t>
  </si>
  <si>
    <t>TQ 402, 8 mm Standard Mount Proximity Probe with 1-meter integral cable, Body Length: 40 mm, 10 Metre System</t>
  </si>
  <si>
    <t>111-902-000-011-A1-B1-C40-D2-E1000-F0-G0-H10</t>
  </si>
  <si>
    <t>TQ 902, 8 mm Standard Mount Proximity Probe with 1-meter integral cable, Body Length: 40 mm, 10 Metre System</t>
  </si>
  <si>
    <t>204-450-000-001-A1-B23-H10-10</t>
  </si>
  <si>
    <t>IQS 450 Signal Conditioner, 4 mV/µm, 10 Meter System Length</t>
  </si>
  <si>
    <t>204-900-000-011-A1-B23-C1-H10-I0</t>
  </si>
  <si>
    <t>IQS 900 Signal Conditioner, 4 mV/µm, 10 Meter System Length</t>
  </si>
  <si>
    <t>Total For</t>
  </si>
  <si>
    <t>Note:</t>
  </si>
  <si>
    <t>- The RFQ part numbers have been identified as obsolete by the OEM. Accordingly, the latest OEM Meggitt replacement part numbers have been offered, any Changes in The Part Nos. may have price impact.</t>
  </si>
  <si>
    <t>Option-2: Spare BK Vibro Sensors &amp; Accessories</t>
  </si>
  <si>
    <t>Proposed BK Vibro Part Number</t>
  </si>
  <si>
    <t>Proposed BK Vibro Item/Part Description</t>
  </si>
  <si>
    <t>Unit Cost €</t>
  </si>
  <si>
    <t>Total Cost €</t>
  </si>
  <si>
    <t>ds821.ds1001/10/200/015/100/000/0</t>
  </si>
  <si>
    <t>2 mm Series ds821 Standard - Non Contacting Eddy Current Displacement Sensor(ECDS) Probe, 
2 mm Measuring range, 8 mV/µm Sensitivity, 10 Meter System Length</t>
  </si>
  <si>
    <t>ds821.od110/0</t>
  </si>
  <si>
    <t>Driver/Signal Conditioner For 2 mm Series ds821 Standard - Non Contacting Eddy Current Displacement Sensor (ECDS) , 2 mm Measuring range, 8 mV/µm Sensitivity, 10 Meter System Length</t>
  </si>
  <si>
    <t>ds821.ec100/090/0</t>
  </si>
  <si>
    <t>Connection Cable For 2 mm Series ds821 Standard -Eddy Current Displacement Sensor (ECDS), 10 Meter Length,</t>
  </si>
  <si>
    <t>ds821.ds3001/10/045/015/100/000/0</t>
  </si>
  <si>
    <t>4 mm Series ds821 Standard - Non Contacting Eddy Current Displacement Sensor (ECDS) Probe, 4 mm Measuring range, 4 mV/µm Sensitivity, 10 Meter System Length</t>
  </si>
  <si>
    <t>ds821.od130.0</t>
  </si>
  <si>
    <t>Driver/Signal Conditioner For 4 mm Series ds821 Standard - Non Contacting Eddy Current Displacement Sensor (ECDS) , 4 mm Measuring range, 4 mV/µm Sensitivity, 10 Meter System Length</t>
  </si>
  <si>
    <t>- Proposed Part Numbers Are Identified As Best Fit &amp; functional Equivalents Of The Meggitt Part Nos. Listed In The RFQ, Any Changes in The Part Nos. due to errors in the Meggitt Part nos. may have price impact.</t>
  </si>
  <si>
    <t>Terms &amp; Conditions:</t>
  </si>
  <si>
    <t>1. Proposal Validity: 30 Days From Proposal Issue Date</t>
  </si>
  <si>
    <t xml:space="preserve">2. Warranty: 3 months from the date of supply </t>
  </si>
  <si>
    <t>3. Price Basis &amp; Inco Terms: Ex Works, Bangalore, All taxes and duties shall be extra as applicable</t>
  </si>
  <si>
    <t>4. Freight &amp; insurance extra at actuals</t>
  </si>
  <si>
    <t>5. Delivery Period: 12-16 weeks after Receipt of Purchase Order and Advance Payment</t>
  </si>
  <si>
    <t xml:space="preserve">6. Payment Terms: 100% Advance Along With PO </t>
  </si>
  <si>
    <t>7. Other Terms &amp; Conditions: As Per ModAE India Standard Terms &amp; Conditions Of Sale</t>
  </si>
  <si>
    <t>BNK</t>
  </si>
  <si>
    <t xml:space="preserve">RFQ Sr. no. 1 check Meggitt part number </t>
  </si>
  <si>
    <t>PNR verify with customer</t>
  </si>
  <si>
    <t>Ask if Items 1, 2 and 3 are for 1 whole system or have separate confguartions</t>
  </si>
  <si>
    <t>Is accurate monitoring below 1 Hz mandatory for this application</t>
  </si>
  <si>
    <t>Existing monitor input scaling?</t>
  </si>
  <si>
    <t>Velocity Sensor Deviation Table</t>
  </si>
  <si>
    <t>Parameter</t>
  </si>
  <si>
    <t>Meggitt VE210 (Baseline)</t>
  </si>
  <si>
    <t>BKV VS-068</t>
  </si>
  <si>
    <t>VS-068 Status vs VE210</t>
  </si>
  <si>
    <t>Sensor Type</t>
  </si>
  <si>
    <t>Velocity Sensor</t>
  </si>
  <si>
    <t>Complying</t>
  </si>
  <si>
    <t>Measuring Principle</t>
  </si>
  <si>
    <t>Electrodynamic</t>
  </si>
  <si>
    <t>Measurement Type</t>
  </si>
  <si>
    <t>Absolute bearing vibration</t>
  </si>
  <si>
    <t>Sensor Architecture</t>
  </si>
  <si>
    <t>Seismic velocity pickup</t>
  </si>
  <si>
    <t>Output Type</t>
  </si>
  <si>
    <t>Dynamic velocity output</t>
  </si>
  <si>
    <t>Power Requirement</t>
  </si>
  <si>
    <t>Passive</t>
  </si>
  <si>
    <t>Sensitivity</t>
  </si>
  <si>
    <t>50 mV/mm/s</t>
  </si>
  <si>
    <t>100 mV/mm/s ±5%</t>
  </si>
  <si>
    <t>Deviating</t>
  </si>
  <si>
    <t>Natural Frequency</t>
  </si>
  <si>
    <t>Lower-frequency compensated behavior</t>
  </si>
  <si>
    <t>8 Hz ±10%</t>
  </si>
  <si>
    <t>Low-frequency Capability</t>
  </si>
  <si>
    <t>Very strong</t>
  </si>
  <si>
    <t>Good</t>
  </si>
  <si>
    <t>Partial Deviation</t>
  </si>
  <si>
    <t>Hydro Turbine Suitability</t>
  </si>
  <si>
    <t>Excellent</t>
  </si>
  <si>
    <t>Mounting Thread</t>
  </si>
  <si>
    <t>M10</t>
  </si>
  <si>
    <t>M10 with M10/M8 adapters</t>
  </si>
  <si>
    <t>Body Construction</t>
  </si>
  <si>
    <t>Stainless steel</t>
  </si>
  <si>
    <t>Stainless steel hermetically sealed</t>
  </si>
  <si>
    <t>Environmental Sealing</t>
  </si>
  <si>
    <t>Industrial sealed</t>
  </si>
  <si>
    <t>Hermetically sealed</t>
  </si>
  <si>
    <t>Protection Rating</t>
  </si>
  <si>
    <t>Industrial grade</t>
  </si>
  <si>
    <t>IP66</t>
  </si>
  <si>
    <t>Comparable</t>
  </si>
  <si>
    <t>Operating Temperature</t>
  </si>
  <si>
    <t>-25 to +80°C</t>
  </si>
  <si>
    <t>-40 to +80°C</t>
  </si>
  <si>
    <t>Short-term Temperature</t>
  </si>
  <si>
    <t>Not specified</t>
  </si>
  <si>
    <t>+100°C short-term</t>
  </si>
  <si>
    <t>Better</t>
  </si>
  <si>
    <t>Maximum Vibration Displacement</t>
  </si>
  <si>
    <t>±0.45 mm</t>
  </si>
  <si>
    <t>Verify</t>
  </si>
  <si>
    <t>Cable Type</t>
  </si>
  <si>
    <t>Standard industrial cable</t>
  </si>
  <si>
    <t>Shielded PTFE cable</t>
  </si>
  <si>
    <t>Cable Length</t>
  </si>
  <si>
    <t>Configurable</t>
  </si>
  <si>
    <t>5 m standard, extendable to 200 m</t>
  </si>
  <si>
    <t>Cable Shielding</t>
  </si>
  <si>
    <t>Yes</t>
  </si>
  <si>
    <t>Shielded cable with EMC protection</t>
  </si>
  <si>
    <t>Cable Protection</t>
  </si>
  <si>
    <t>Optional flexible hose</t>
  </si>
  <si>
    <t>Steel protective hose with PU coating</t>
  </si>
  <si>
    <t>Sensor Weight</t>
  </si>
  <si>
    <t>Compact sensor</t>
  </si>
  <si>
    <t>~500 g sensor / ~1500 g total assembly</t>
  </si>
  <si>
    <t>EMC Protection</t>
  </si>
  <si>
    <t>Industrial EMC design</t>
  </si>
  <si>
    <t>EN61326-1 compliant</t>
  </si>
  <si>
    <t>Dynamic Signal Output</t>
  </si>
  <si>
    <t>Spectrum Analysis Capability</t>
  </si>
  <si>
    <t>Protection System Compatibility</t>
  </si>
  <si>
    <t>Condition Monitoring Compatibility</t>
  </si>
  <si>
    <t>Displacement Probe Deviation Table</t>
  </si>
  <si>
    <t>Meggitt TQ902 (Baseline)</t>
  </si>
  <si>
    <t>BKV IN-081</t>
  </si>
  <si>
    <t>Mr. pppp</t>
  </si>
  <si>
    <t>M/S. ddddd</t>
  </si>
  <si>
    <t xml:space="preserve">G-02, TTTTTTTTTTTTTTTTTTTT ROAD, </t>
  </si>
  <si>
    <t>, Maharashtra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</si>
</sst>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quot;$&quot;* #,##0.00_);_(&quot;$&quot;* \(#,##0.00\);_(&quot;$&quot;* &quot;-&quot;??_);_(@_)"/>
    <numFmt numFmtId="165" formatCode="_(* #,##0.00_);_(* \(#,##0.00\);_(* &quot;-&quot;??_);_(@_)"/>
    <numFmt numFmtId="166" formatCode="[$-409]d\-mmm\-yyyy;@"/>
    <numFmt numFmtId="167" formatCode="0.000_)"/>
    <numFmt numFmtId="168" formatCode="0.00_)"/>
    <numFmt numFmtId="169" formatCode="_ [$₹-4009]\ * #,##0_ ;_ [$₹-4009]\ * \-#,##0_ ;_ [$₹-4009]\ * &quot;-&quot;??_ ;_ @_ "/>
    <numFmt numFmtId="170" formatCode="_ [$₹-4009]\ * #,##0.00_ ;_ [$₹-4009]\ * \-#,##0.00_ ;_ [$₹-4009]\ * &quot;-&quot;??_ ;_ @_ "/>
    <numFmt numFmtId="171" formatCode="_ [$€-2]\ * #,##0_ ;_ [$€-2]\ * \-#,##0_ ;_ [$€-2]\ * &quot;-&quot;??_ ;_ @_ "/>
    <numFmt numFmtId="172" formatCode="_-[$$-409]* #,##0_ ;_-[$$-409]* \-#,##0\ ;_-[$$-409]* &quot;-&quot;??_ ;_-@_ "/>
    <numFmt numFmtId="173" formatCode="_([$€-2]\ * #,##0.00_);_([$€-2]\ * \(#,##0.00\);_([$€-2]\ * &quot;-&quot;??_);_(@_)"/>
    <numFmt numFmtId="174" formatCode="_ [$₹-4009]\ * #,##0.0_ ;_ [$₹-4009]\ * \-#,##0.0_ ;_ [$₹-4009]\ * &quot;-&quot;?_ ;_ @_ "/>
    <numFmt numFmtId="175" formatCode="&quot;₹&quot;\ #,##0"/>
  </numFmts>
  <fonts count="50"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u/>
      <sz val="10"/>
      <color indexed="12"/>
      <name val="Arial"/>
      <family val="2"/>
    </font>
    <font>
      <sz val="11"/>
      <name val="Tms Rmn"/>
      <family val="1"/>
    </font>
    <font>
      <b/>
      <sz val="12"/>
      <name val="Arial"/>
      <family val="2"/>
    </font>
    <font>
      <sz val="8"/>
      <name val="Times New Roman"/>
      <family val="1"/>
    </font>
    <font>
      <sz val="7"/>
      <name val="Small Fonts"/>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Arial"/>
      <family val="2"/>
    </font>
    <font>
      <u/>
      <sz val="10"/>
      <color indexed="12"/>
      <name val="Arial"/>
      <family val="2"/>
    </font>
    <font>
      <sz val="12"/>
      <name val="Candara"/>
      <family val="2"/>
    </font>
    <font>
      <sz val="12"/>
      <color indexed="55"/>
      <name val="Candara"/>
      <family val="2"/>
    </font>
    <font>
      <u/>
      <sz val="12"/>
      <color indexed="12"/>
      <name val="Candara"/>
      <family val="2"/>
    </font>
    <font>
      <sz val="11"/>
      <name val="Candara"/>
      <family val="2"/>
    </font>
    <font>
      <b/>
      <sz val="12"/>
      <name val="Candara"/>
      <family val="2"/>
    </font>
    <font>
      <b/>
      <sz val="12"/>
      <color rgb="FF11045C"/>
      <name val="Candara"/>
      <family val="2"/>
    </font>
    <font>
      <b/>
      <i/>
      <sz val="14"/>
      <color rgb="FF3333FF"/>
      <name val="Candara"/>
      <family val="2"/>
    </font>
    <font>
      <sz val="12"/>
      <color rgb="FF3333FF"/>
      <name val="Candara"/>
      <family val="2"/>
    </font>
    <font>
      <b/>
      <sz val="12"/>
      <color indexed="55"/>
      <name val="Candara"/>
      <family val="2"/>
    </font>
    <font>
      <sz val="10"/>
      <name val="Candara"/>
      <family val="2"/>
    </font>
    <font>
      <b/>
      <sz val="10"/>
      <name val="Candara"/>
      <family val="2"/>
    </font>
    <font>
      <b/>
      <sz val="11"/>
      <name val="Candara"/>
      <family val="2"/>
    </font>
    <font>
      <sz val="11"/>
      <color theme="1"/>
      <name val="Candara"/>
      <family val="2"/>
    </font>
    <font>
      <b/>
      <i/>
      <sz val="12"/>
      <color rgb="FF3333FF"/>
      <name val="Candara"/>
      <family val="2"/>
    </font>
    <font>
      <sz val="10"/>
      <name val="Arial"/>
      <family val="2"/>
    </font>
    <font>
      <b/>
      <sz val="11"/>
      <name val="Aptos Narrow"/>
      <family val="2"/>
    </font>
    <font>
      <b/>
      <sz val="11"/>
      <color theme="1"/>
      <name val="Candara"/>
      <family val="2"/>
    </font>
    <font>
      <i/>
      <sz val="11"/>
      <color theme="1"/>
      <name val="Candara"/>
      <family val="2"/>
    </font>
    <font>
      <sz val="11"/>
      <color rgb="FF0066FF"/>
      <name val="Candara"/>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0"/>
        <bgColor rgb="FF000000"/>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9" tint="-0.24994659260841701"/>
        <bgColor indexed="64"/>
      </patternFill>
    </fill>
    <fill>
      <patternFill patternType="solid">
        <fgColor rgb="FF00B05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double">
        <color rgb="FF090759"/>
      </bottom>
      <diagonal/>
    </border>
    <border>
      <left style="thin">
        <color indexed="64"/>
      </left>
      <right style="thin">
        <color indexed="64"/>
      </right>
      <top/>
      <bottom/>
      <diagonal/>
    </border>
    <border>
      <left/>
      <right/>
      <top style="double">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76">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167" fontId="6" fillId="0" borderId="0"/>
    <xf numFmtId="167" fontId="6" fillId="0" borderId="0"/>
    <xf numFmtId="167" fontId="6" fillId="0" borderId="0"/>
    <xf numFmtId="167" fontId="6" fillId="0" borderId="0"/>
    <xf numFmtId="167" fontId="6" fillId="0" borderId="0"/>
    <xf numFmtId="167" fontId="6" fillId="0" borderId="0"/>
    <xf numFmtId="167" fontId="6" fillId="0" borderId="0"/>
    <xf numFmtId="167" fontId="6" fillId="0" borderId="0"/>
    <xf numFmtId="165" fontId="28"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4" fontId="28"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7" fillId="0" borderId="3" applyNumberFormat="0" applyAlignment="0" applyProtection="0">
      <alignment horizontal="left" vertical="center"/>
    </xf>
    <xf numFmtId="0" fontId="7" fillId="0" borderId="4">
      <alignment horizontal="left" vertical="center"/>
    </xf>
    <xf numFmtId="0" fontId="18" fillId="0" borderId="5"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20" fillId="0" borderId="0" applyNumberFormat="0" applyFill="0" applyBorder="0" applyAlignment="0" applyProtection="0"/>
    <xf numFmtId="0" fontId="30" fillId="0" borderId="0" applyNumberFormat="0" applyFill="0" applyBorder="0" applyAlignment="0" applyProtection="0">
      <alignment vertical="top"/>
      <protection locked="0"/>
    </xf>
    <xf numFmtId="0" fontId="21" fillId="7" borderId="1" applyNumberFormat="0" applyAlignment="0" applyProtection="0"/>
    <xf numFmtId="1" fontId="8" fillId="0" borderId="0">
      <alignment horizontal="center" vertical="center"/>
    </xf>
    <xf numFmtId="0" fontId="22" fillId="0" borderId="8" applyNumberFormat="0" applyFill="0" applyAlignment="0" applyProtection="0"/>
    <xf numFmtId="0" fontId="23" fillId="22" borderId="0" applyNumberFormat="0" applyBorder="0" applyAlignment="0" applyProtection="0"/>
    <xf numFmtId="37" fontId="9" fillId="0" borderId="0"/>
    <xf numFmtId="168" fontId="10" fillId="0" borderId="0"/>
    <xf numFmtId="0" fontId="29" fillId="0" borderId="0"/>
    <xf numFmtId="0" fontId="28" fillId="0" borderId="0"/>
    <xf numFmtId="0" fontId="3" fillId="23" borderId="9" applyNumberFormat="0" applyFont="0" applyAlignment="0" applyProtection="0"/>
    <xf numFmtId="0" fontId="24" fillId="20" borderId="10" applyNumberFormat="0" applyAlignment="0" applyProtection="0"/>
    <xf numFmtId="9" fontId="28" fillId="0" borderId="0" applyFont="0" applyFill="0" applyBorder="0" applyAlignment="0" applyProtection="0"/>
    <xf numFmtId="9" fontId="29" fillId="0" borderId="0" applyFont="0" applyFill="0" applyBorder="0" applyAlignment="0" applyProtection="0"/>
    <xf numFmtId="0" fontId="25" fillId="0" borderId="0" applyNumberFormat="0" applyFill="0" applyBorder="0" applyAlignment="0" applyProtection="0"/>
    <xf numFmtId="0" fontId="26" fillId="0" borderId="11" applyNumberFormat="0" applyFill="0" applyAlignment="0" applyProtection="0"/>
    <xf numFmtId="0" fontId="27" fillId="0" borderId="0" applyNumberFormat="0" applyFill="0" applyBorder="0" applyAlignment="0" applyProtection="0"/>
    <xf numFmtId="0" fontId="3" fillId="0" borderId="0"/>
    <xf numFmtId="0" fontId="3" fillId="0" borderId="0"/>
    <xf numFmtId="0" fontId="5" fillId="0" borderId="0" applyNumberFormat="0" applyFill="0" applyBorder="0" applyAlignment="0" applyProtection="0">
      <alignment vertical="top"/>
      <protection locked="0"/>
    </xf>
    <xf numFmtId="0" fontId="3" fillId="0" borderId="0"/>
    <xf numFmtId="9" fontId="3" fillId="0" borderId="0" applyFont="0" applyFill="0" applyBorder="0" applyAlignment="0" applyProtection="0"/>
    <xf numFmtId="0" fontId="2" fillId="0" borderId="0"/>
    <xf numFmtId="0" fontId="1" fillId="0" borderId="0"/>
    <xf numFmtId="0" fontId="1" fillId="0" borderId="0"/>
    <xf numFmtId="9" fontId="3" fillId="0" borderId="0" applyFont="0" applyFill="0" applyBorder="0" applyAlignment="0" applyProtection="0"/>
    <xf numFmtId="9" fontId="45" fillId="0" borderId="0" applyFont="0" applyFill="0" applyBorder="0" applyAlignment="0" applyProtection="0"/>
  </cellStyleXfs>
  <cellXfs count="131">
    <xf numFmtId="0" fontId="0" fillId="0" borderId="0" xfId="0"/>
    <xf numFmtId="0" fontId="31" fillId="24" borderId="0" xfId="66" applyFont="1" applyFill="1" applyAlignment="1">
      <alignment vertical="center"/>
    </xf>
    <xf numFmtId="0" fontId="35" fillId="24" borderId="0" xfId="66" applyFont="1" applyFill="1" applyAlignment="1">
      <alignment vertical="top"/>
    </xf>
    <xf numFmtId="0" fontId="31" fillId="24" borderId="0" xfId="66" applyFont="1" applyFill="1" applyAlignment="1">
      <alignment vertical="top"/>
    </xf>
    <xf numFmtId="0" fontId="34" fillId="24" borderId="0" xfId="66" applyFont="1" applyFill="1" applyAlignment="1">
      <alignment vertical="top"/>
    </xf>
    <xf numFmtId="0" fontId="31" fillId="24" borderId="15" xfId="66" applyFont="1" applyFill="1" applyBorder="1" applyAlignment="1">
      <alignment vertical="top"/>
    </xf>
    <xf numFmtId="0" fontId="31" fillId="24" borderId="0" xfId="66" applyFont="1" applyFill="1" applyAlignment="1">
      <alignment horizontal="center" vertical="top"/>
    </xf>
    <xf numFmtId="0" fontId="31" fillId="24" borderId="0" xfId="66" applyFont="1" applyFill="1" applyAlignment="1">
      <alignment horizontal="center" vertical="center"/>
    </xf>
    <xf numFmtId="0" fontId="31" fillId="24" borderId="0" xfId="67" applyFont="1" applyFill="1" applyAlignment="1">
      <alignment horizontal="left" vertical="center"/>
    </xf>
    <xf numFmtId="0" fontId="31" fillId="24" borderId="0" xfId="67" quotePrefix="1" applyFont="1" applyFill="1" applyAlignment="1">
      <alignment horizontal="left" vertical="center"/>
    </xf>
    <xf numFmtId="0" fontId="35" fillId="24" borderId="0" xfId="67" applyFont="1" applyFill="1" applyAlignment="1">
      <alignment vertical="top"/>
    </xf>
    <xf numFmtId="0" fontId="31" fillId="24" borderId="0" xfId="66" applyFont="1" applyFill="1" applyAlignment="1">
      <alignment horizontal="left" vertical="top" wrapText="1"/>
    </xf>
    <xf numFmtId="0" fontId="31" fillId="25" borderId="0" xfId="69" applyFont="1" applyFill="1" applyAlignment="1">
      <alignment vertical="center"/>
    </xf>
    <xf numFmtId="0" fontId="31" fillId="24" borderId="0" xfId="66" applyFont="1" applyFill="1" applyAlignment="1">
      <alignment horizontal="left" vertical="top"/>
    </xf>
    <xf numFmtId="0" fontId="35" fillId="24" borderId="0" xfId="66" applyFont="1" applyFill="1" applyAlignment="1">
      <alignment vertical="center"/>
    </xf>
    <xf numFmtId="0" fontId="34" fillId="24" borderId="0" xfId="66" applyFont="1" applyFill="1" applyAlignment="1">
      <alignment horizontal="center" vertical="center"/>
    </xf>
    <xf numFmtId="0" fontId="34" fillId="24" borderId="0" xfId="66" applyFont="1" applyFill="1" applyAlignment="1">
      <alignment vertical="center"/>
    </xf>
    <xf numFmtId="0" fontId="37" fillId="24" borderId="0" xfId="66" applyFont="1" applyFill="1" applyAlignment="1">
      <alignment horizontal="right" vertical="center"/>
    </xf>
    <xf numFmtId="0" fontId="42" fillId="24" borderId="0" xfId="66" applyFont="1" applyFill="1" applyAlignment="1">
      <alignment horizontal="center" vertical="center"/>
    </xf>
    <xf numFmtId="0" fontId="42" fillId="24" borderId="14" xfId="66" applyFont="1" applyFill="1" applyBorder="1" applyAlignment="1">
      <alignment horizontal="center" vertical="center"/>
    </xf>
    <xf numFmtId="0" fontId="42" fillId="24" borderId="14" xfId="69" applyFont="1" applyFill="1" applyBorder="1" applyAlignment="1">
      <alignment horizontal="center" vertical="center"/>
    </xf>
    <xf numFmtId="0" fontId="34" fillId="24" borderId="19" xfId="66" applyFont="1" applyFill="1" applyBorder="1" applyAlignment="1">
      <alignment horizontal="center" vertical="top"/>
    </xf>
    <xf numFmtId="0" fontId="34" fillId="24" borderId="16" xfId="66" applyFont="1" applyFill="1" applyBorder="1" applyAlignment="1">
      <alignment horizontal="center" vertical="top"/>
    </xf>
    <xf numFmtId="0" fontId="34" fillId="24" borderId="16" xfId="66" applyFont="1" applyFill="1" applyBorder="1" applyAlignment="1">
      <alignment horizontal="left" vertical="top" wrapText="1"/>
    </xf>
    <xf numFmtId="0" fontId="34" fillId="24" borderId="12" xfId="66" applyFont="1" applyFill="1" applyBorder="1" applyAlignment="1">
      <alignment horizontal="center" vertical="top"/>
    </xf>
    <xf numFmtId="0" fontId="34" fillId="24" borderId="12" xfId="66" applyFont="1" applyFill="1" applyBorder="1" applyAlignment="1">
      <alignment horizontal="left" vertical="top" wrapText="1"/>
    </xf>
    <xf numFmtId="0" fontId="42" fillId="24" borderId="18" xfId="66" applyFont="1" applyFill="1" applyBorder="1" applyAlignment="1">
      <alignment horizontal="center" vertical="center"/>
    </xf>
    <xf numFmtId="0" fontId="42" fillId="24" borderId="0" xfId="66" applyFont="1" applyFill="1" applyAlignment="1">
      <alignment vertical="center"/>
    </xf>
    <xf numFmtId="169" fontId="42" fillId="24" borderId="0" xfId="69" applyNumberFormat="1" applyFont="1" applyFill="1" applyAlignment="1">
      <alignment horizontal="center" vertical="center"/>
    </xf>
    <xf numFmtId="169" fontId="42" fillId="24" borderId="0" xfId="66" applyNumberFormat="1" applyFont="1" applyFill="1" applyAlignment="1">
      <alignment horizontal="center" vertical="center"/>
    </xf>
    <xf numFmtId="0" fontId="34" fillId="24" borderId="0" xfId="66" applyFont="1" applyFill="1" applyAlignment="1">
      <alignment horizontal="left" vertical="center"/>
    </xf>
    <xf numFmtId="173" fontId="34" fillId="24" borderId="0" xfId="66" applyNumberFormat="1" applyFont="1" applyFill="1" applyAlignment="1">
      <alignment horizontal="center" vertical="center"/>
    </xf>
    <xf numFmtId="0" fontId="42" fillId="24" borderId="0" xfId="66" applyFont="1" applyFill="1" applyAlignment="1">
      <alignment horizontal="left" vertical="center"/>
    </xf>
    <xf numFmtId="0" fontId="34" fillId="24" borderId="0" xfId="66" applyFont="1" applyFill="1" applyAlignment="1">
      <alignment horizontal="left" vertical="center" indent="1"/>
    </xf>
    <xf numFmtId="0" fontId="43" fillId="24" borderId="0" xfId="66" applyFont="1" applyFill="1" applyAlignment="1">
      <alignment vertical="center"/>
    </xf>
    <xf numFmtId="0" fontId="43" fillId="24" borderId="0" xfId="66" applyFont="1" applyFill="1" applyAlignment="1">
      <alignment horizontal="left" vertical="center"/>
    </xf>
    <xf numFmtId="174" fontId="34" fillId="24" borderId="0" xfId="66" applyNumberFormat="1" applyFont="1" applyFill="1" applyAlignment="1">
      <alignment vertical="center"/>
    </xf>
    <xf numFmtId="0" fontId="3" fillId="0" borderId="0" xfId="0" applyFont="1"/>
    <xf numFmtId="0" fontId="34" fillId="0" borderId="0" xfId="66" applyFont="1" applyAlignment="1">
      <alignment vertical="center"/>
    </xf>
    <xf numFmtId="170" fontId="34" fillId="0" borderId="0" xfId="66" applyNumberFormat="1" applyFont="1" applyAlignment="1">
      <alignment vertical="center"/>
    </xf>
    <xf numFmtId="0" fontId="31" fillId="24" borderId="0" xfId="66" applyFont="1" applyFill="1" applyAlignment="1">
      <alignment vertical="top" wrapText="1"/>
    </xf>
    <xf numFmtId="0" fontId="31" fillId="24" borderId="0" xfId="67" applyFont="1" applyFill="1" applyAlignment="1">
      <alignment vertical="top" wrapText="1"/>
    </xf>
    <xf numFmtId="0" fontId="31" fillId="24" borderId="0" xfId="67" applyFont="1" applyFill="1" applyAlignment="1">
      <alignment vertical="center"/>
    </xf>
    <xf numFmtId="0" fontId="39" fillId="24" borderId="0" xfId="66" applyFont="1" applyFill="1" applyAlignment="1">
      <alignment vertical="top" wrapText="1"/>
    </xf>
    <xf numFmtId="0" fontId="32" fillId="24" borderId="0" xfId="66" applyFont="1" applyFill="1" applyAlignment="1">
      <alignment vertical="top" wrapText="1"/>
    </xf>
    <xf numFmtId="0" fontId="44" fillId="24" borderId="0" xfId="66" applyFont="1" applyFill="1" applyAlignment="1">
      <alignment horizontal="right" vertical="top"/>
    </xf>
    <xf numFmtId="0" fontId="40" fillId="0" borderId="12" xfId="0" applyFont="1" applyBorder="1" applyAlignment="1">
      <alignment vertical="center" wrapText="1"/>
    </xf>
    <xf numFmtId="0" fontId="36" fillId="24" borderId="0" xfId="66" applyFont="1" applyFill="1" applyAlignment="1">
      <alignment horizontal="left" vertical="top"/>
    </xf>
    <xf numFmtId="0" fontId="3" fillId="27" borderId="0" xfId="0" applyFont="1" applyFill="1"/>
    <xf numFmtId="0" fontId="41" fillId="26" borderId="12" xfId="0" applyFont="1" applyFill="1" applyBorder="1" applyAlignment="1">
      <alignment horizontal="center" vertical="center" wrapText="1"/>
    </xf>
    <xf numFmtId="0" fontId="40" fillId="28" borderId="12" xfId="0" applyFont="1" applyFill="1" applyBorder="1" applyAlignment="1">
      <alignment vertical="center" wrapText="1"/>
    </xf>
    <xf numFmtId="0" fontId="40" fillId="29" borderId="12" xfId="0" applyFont="1" applyFill="1" applyBorder="1" applyAlignment="1">
      <alignment vertical="center" wrapText="1"/>
    </xf>
    <xf numFmtId="0" fontId="40" fillId="30" borderId="12" xfId="0" applyFont="1" applyFill="1" applyBorder="1" applyAlignment="1">
      <alignment vertical="center" wrapText="1"/>
    </xf>
    <xf numFmtId="0" fontId="40" fillId="27" borderId="12" xfId="0" applyFont="1" applyFill="1" applyBorder="1" applyAlignment="1">
      <alignment vertical="center" wrapText="1"/>
    </xf>
    <xf numFmtId="0" fontId="40" fillId="31" borderId="12" xfId="0" applyFont="1" applyFill="1" applyBorder="1" applyAlignment="1">
      <alignment vertical="center" wrapText="1"/>
    </xf>
    <xf numFmtId="0" fontId="42" fillId="24" borderId="20" xfId="66" applyFont="1" applyFill="1" applyBorder="1" applyAlignment="1">
      <alignment vertical="center"/>
    </xf>
    <xf numFmtId="0" fontId="34" fillId="24" borderId="0" xfId="69" applyFont="1" applyFill="1" applyAlignment="1">
      <alignment vertical="center"/>
    </xf>
    <xf numFmtId="0" fontId="42" fillId="24" borderId="14" xfId="66" applyFont="1" applyFill="1" applyBorder="1" applyAlignment="1">
      <alignment horizontal="center" vertical="center" wrapText="1"/>
    </xf>
    <xf numFmtId="169" fontId="34" fillId="24" borderId="13" xfId="66" applyNumberFormat="1" applyFont="1" applyFill="1" applyBorder="1" applyAlignment="1">
      <alignment vertical="top"/>
    </xf>
    <xf numFmtId="10" fontId="34" fillId="24" borderId="0" xfId="74" applyNumberFormat="1" applyFont="1" applyFill="1" applyAlignment="1">
      <alignment horizontal="center" vertical="center"/>
    </xf>
    <xf numFmtId="10" fontId="34" fillId="0" borderId="0" xfId="74" applyNumberFormat="1" applyFont="1" applyFill="1" applyAlignment="1">
      <alignment horizontal="center" vertical="center"/>
    </xf>
    <xf numFmtId="170" fontId="42" fillId="24" borderId="13" xfId="66" applyNumberFormat="1" applyFont="1" applyFill="1" applyBorder="1" applyAlignment="1">
      <alignment horizontal="center" vertical="center"/>
    </xf>
    <xf numFmtId="169" fontId="42" fillId="24" borderId="13" xfId="66" applyNumberFormat="1" applyFont="1" applyFill="1" applyBorder="1" applyAlignment="1">
      <alignment vertical="center"/>
    </xf>
    <xf numFmtId="169" fontId="42" fillId="24" borderId="13" xfId="66" applyNumberFormat="1" applyFont="1" applyFill="1" applyBorder="1" applyAlignment="1">
      <alignment horizontal="center" vertical="center"/>
    </xf>
    <xf numFmtId="171" fontId="42" fillId="24" borderId="13" xfId="66" applyNumberFormat="1" applyFont="1" applyFill="1" applyBorder="1" applyAlignment="1">
      <alignment vertical="center"/>
    </xf>
    <xf numFmtId="170" fontId="42" fillId="24" borderId="0" xfId="66" applyNumberFormat="1" applyFont="1" applyFill="1" applyAlignment="1">
      <alignment horizontal="center" vertical="center"/>
    </xf>
    <xf numFmtId="169" fontId="42" fillId="24" borderId="0" xfId="66" applyNumberFormat="1" applyFont="1" applyFill="1" applyAlignment="1">
      <alignment vertical="center"/>
    </xf>
    <xf numFmtId="172" fontId="42" fillId="24" borderId="0" xfId="66" applyNumberFormat="1" applyFont="1" applyFill="1" applyAlignment="1">
      <alignment horizontal="center" vertical="center"/>
    </xf>
    <xf numFmtId="171" fontId="42" fillId="24" borderId="0" xfId="66" applyNumberFormat="1" applyFont="1" applyFill="1" applyAlignment="1">
      <alignment vertical="center"/>
    </xf>
    <xf numFmtId="0" fontId="47" fillId="24" borderId="0" xfId="69" applyFont="1" applyFill="1" applyAlignment="1">
      <alignment horizontal="left" vertical="center"/>
    </xf>
    <xf numFmtId="9" fontId="34" fillId="24" borderId="0" xfId="70" applyFont="1" applyFill="1" applyAlignment="1">
      <alignment horizontal="center" vertical="center"/>
    </xf>
    <xf numFmtId="0" fontId="42" fillId="24" borderId="0" xfId="66" applyFont="1" applyFill="1" applyAlignment="1">
      <alignment horizontal="right" vertical="center"/>
    </xf>
    <xf numFmtId="169" fontId="34" fillId="24" borderId="0" xfId="66" applyNumberFormat="1" applyFont="1" applyFill="1" applyAlignment="1">
      <alignment vertical="center"/>
    </xf>
    <xf numFmtId="170" fontId="34" fillId="24" borderId="0" xfId="66" applyNumberFormat="1" applyFont="1" applyFill="1" applyAlignment="1">
      <alignment vertical="center"/>
    </xf>
    <xf numFmtId="169" fontId="34" fillId="24" borderId="14" xfId="66" applyNumberFormat="1" applyFont="1" applyFill="1" applyBorder="1" applyAlignment="1">
      <alignment vertical="top"/>
    </xf>
    <xf numFmtId="0" fontId="34" fillId="24" borderId="12" xfId="69" applyFont="1" applyFill="1" applyBorder="1" applyAlignment="1">
      <alignment horizontal="left" vertical="top" wrapText="1"/>
    </xf>
    <xf numFmtId="0" fontId="34" fillId="24" borderId="14" xfId="66" applyFont="1" applyFill="1" applyBorder="1" applyAlignment="1">
      <alignment horizontal="center" vertical="top"/>
    </xf>
    <xf numFmtId="0" fontId="42" fillId="24" borderId="19" xfId="66" applyFont="1" applyFill="1" applyBorder="1" applyAlignment="1">
      <alignment horizontal="center" vertical="center"/>
    </xf>
    <xf numFmtId="0" fontId="34" fillId="24" borderId="12" xfId="69" applyFont="1" applyFill="1" applyBorder="1" applyAlignment="1">
      <alignment vertical="top" wrapText="1"/>
    </xf>
    <xf numFmtId="169" fontId="34" fillId="24" borderId="12" xfId="69" applyNumberFormat="1" applyFont="1" applyFill="1" applyBorder="1" applyAlignment="1">
      <alignment vertical="top" wrapText="1"/>
    </xf>
    <xf numFmtId="0" fontId="42" fillId="24" borderId="20" xfId="66" applyFont="1" applyFill="1" applyBorder="1" applyAlignment="1">
      <alignment horizontal="left" vertical="center"/>
    </xf>
    <xf numFmtId="0" fontId="34" fillId="24" borderId="12" xfId="66" quotePrefix="1" applyFont="1" applyFill="1" applyBorder="1" applyAlignment="1">
      <alignment horizontal="center" vertical="top" wrapText="1"/>
    </xf>
    <xf numFmtId="0" fontId="34" fillId="24" borderId="19" xfId="69" applyFont="1" applyFill="1" applyBorder="1" applyAlignment="1">
      <alignment horizontal="left" vertical="top" wrapText="1"/>
    </xf>
    <xf numFmtId="0" fontId="34" fillId="24" borderId="14" xfId="69" applyFont="1" applyFill="1" applyBorder="1" applyAlignment="1">
      <alignment horizontal="left" vertical="top" wrapText="1"/>
    </xf>
    <xf numFmtId="169" fontId="34" fillId="24" borderId="14" xfId="69" applyNumberFormat="1" applyFont="1" applyFill="1" applyBorder="1" applyAlignment="1">
      <alignment vertical="top" wrapText="1"/>
    </xf>
    <xf numFmtId="0" fontId="34" fillId="24" borderId="23" xfId="66" applyFont="1" applyFill="1" applyBorder="1" applyAlignment="1">
      <alignment vertical="center"/>
    </xf>
    <xf numFmtId="169" fontId="42" fillId="24" borderId="23" xfId="69" applyNumberFormat="1" applyFont="1" applyFill="1" applyBorder="1" applyAlignment="1">
      <alignment horizontal="center" vertical="center"/>
    </xf>
    <xf numFmtId="0" fontId="34" fillId="24" borderId="13" xfId="66" applyFont="1" applyFill="1" applyBorder="1" applyAlignment="1">
      <alignment horizontal="center" vertical="top"/>
    </xf>
    <xf numFmtId="169" fontId="42" fillId="24" borderId="12" xfId="66" applyNumberFormat="1" applyFont="1" applyFill="1" applyBorder="1" applyAlignment="1">
      <alignment horizontal="right" vertical="center"/>
    </xf>
    <xf numFmtId="0" fontId="49" fillId="24" borderId="0" xfId="66" applyFont="1" applyFill="1" applyAlignment="1">
      <alignment vertical="center"/>
    </xf>
    <xf numFmtId="175" fontId="42" fillId="24" borderId="12" xfId="66" applyNumberFormat="1" applyFont="1" applyFill="1" applyBorder="1" applyAlignment="1">
      <alignment horizontal="right" vertical="center"/>
    </xf>
    <xf numFmtId="169" fontId="34" fillId="24" borderId="13" xfId="66" applyNumberFormat="1" applyFont="1" applyFill="1" applyBorder="1" applyAlignment="1">
      <alignment horizontal="center" vertical="top"/>
    </xf>
    <xf numFmtId="169" fontId="34" fillId="24" borderId="14" xfId="66" applyNumberFormat="1" applyFont="1" applyFill="1" applyBorder="1" applyAlignment="1">
      <alignment horizontal="center" vertical="top"/>
    </xf>
    <xf numFmtId="169" fontId="34" fillId="24" borderId="12" xfId="69" applyNumberFormat="1" applyFont="1" applyFill="1" applyBorder="1" applyAlignment="1">
      <alignment horizontal="center" vertical="top" wrapText="1"/>
    </xf>
    <xf numFmtId="169" fontId="34" fillId="24" borderId="14" xfId="69" applyNumberFormat="1" applyFont="1" applyFill="1" applyBorder="1" applyAlignment="1">
      <alignment horizontal="center" vertical="top" wrapText="1"/>
    </xf>
    <xf numFmtId="0" fontId="34" fillId="24" borderId="16" xfId="69" applyFont="1" applyFill="1" applyBorder="1" applyAlignment="1">
      <alignment vertical="top" wrapText="1"/>
    </xf>
    <xf numFmtId="0" fontId="34" fillId="24" borderId="24" xfId="66" applyFont="1" applyFill="1" applyBorder="1" applyAlignment="1">
      <alignment horizontal="center" vertical="top"/>
    </xf>
    <xf numFmtId="169" fontId="34" fillId="24" borderId="13" xfId="69" applyNumberFormat="1" applyFont="1" applyFill="1" applyBorder="1" applyAlignment="1">
      <alignment horizontal="center" vertical="top" wrapText="1"/>
    </xf>
    <xf numFmtId="169" fontId="42" fillId="24" borderId="13" xfId="69" applyNumberFormat="1" applyFont="1" applyFill="1" applyBorder="1" applyAlignment="1">
      <alignment horizontal="center" vertical="center"/>
    </xf>
    <xf numFmtId="0" fontId="34" fillId="24" borderId="13" xfId="66" applyFont="1" applyFill="1" applyBorder="1" applyAlignment="1">
      <alignment vertical="center"/>
    </xf>
    <xf numFmtId="171" fontId="34" fillId="24" borderId="13" xfId="66" applyNumberFormat="1" applyFont="1" applyFill="1" applyBorder="1" applyAlignment="1">
      <alignment horizontal="center" vertical="top"/>
    </xf>
    <xf numFmtId="169" fontId="34" fillId="24" borderId="12" xfId="66" applyNumberFormat="1" applyFont="1" applyFill="1" applyBorder="1" applyAlignment="1">
      <alignment horizontal="center" vertical="top"/>
    </xf>
    <xf numFmtId="171" fontId="34" fillId="24" borderId="12" xfId="66" applyNumberFormat="1" applyFont="1" applyFill="1" applyBorder="1" applyAlignment="1">
      <alignment horizontal="center" vertical="top"/>
    </xf>
    <xf numFmtId="171" fontId="34" fillId="24" borderId="14" xfId="66" applyNumberFormat="1" applyFont="1" applyFill="1" applyBorder="1" applyAlignment="1">
      <alignment horizontal="center" vertical="top"/>
    </xf>
    <xf numFmtId="0" fontId="34" fillId="24" borderId="14" xfId="66" applyFont="1" applyFill="1" applyBorder="1" applyAlignment="1">
      <alignment horizontal="left" vertical="top" wrapText="1"/>
    </xf>
    <xf numFmtId="0" fontId="34" fillId="24" borderId="14" xfId="69" applyFont="1" applyFill="1" applyBorder="1" applyAlignment="1">
      <alignment vertical="top" wrapText="1"/>
    </xf>
    <xf numFmtId="9" fontId="42" fillId="24" borderId="12" xfId="66" applyNumberFormat="1" applyFont="1" applyFill="1" applyBorder="1" applyAlignment="1">
      <alignment horizontal="center" vertical="center"/>
    </xf>
    <xf numFmtId="169" fontId="42" fillId="24" borderId="12" xfId="75" applyNumberFormat="1" applyFont="1" applyFill="1" applyBorder="1" applyAlignment="1">
      <alignment horizontal="right" vertical="center"/>
    </xf>
    <xf numFmtId="0" fontId="42" fillId="24" borderId="12" xfId="66" applyFont="1" applyFill="1" applyBorder="1" applyAlignment="1">
      <alignment horizontal="center" vertical="center"/>
    </xf>
    <xf numFmtId="0" fontId="42" fillId="24" borderId="12" xfId="69" applyFont="1" applyFill="1" applyBorder="1" applyAlignment="1">
      <alignment horizontal="center" vertical="center"/>
    </xf>
    <xf numFmtId="9" fontId="42" fillId="24" borderId="12" xfId="70" applyFont="1" applyFill="1" applyBorder="1" applyAlignment="1">
      <alignment horizontal="center" vertical="center"/>
    </xf>
    <xf numFmtId="169" fontId="42" fillId="24" borderId="12" xfId="69" applyNumberFormat="1" applyFont="1" applyFill="1" applyBorder="1" applyAlignment="1">
      <alignment horizontal="right" vertical="center"/>
    </xf>
    <xf numFmtId="169" fontId="42" fillId="24" borderId="12" xfId="66" applyNumberFormat="1" applyFont="1" applyFill="1" applyBorder="1" applyAlignment="1">
      <alignment horizontal="center" vertical="center"/>
    </xf>
    <xf numFmtId="0" fontId="42" fillId="24" borderId="12" xfId="66" applyFont="1" applyFill="1" applyBorder="1" applyAlignment="1">
      <alignment horizontal="center" vertical="center"/>
    </xf>
    <xf numFmtId="0" fontId="42" fillId="24" borderId="21" xfId="66" applyFont="1" applyFill="1" applyBorder="1" applyAlignment="1">
      <alignment horizontal="center" vertical="center"/>
    </xf>
    <xf numFmtId="0" fontId="42" fillId="24" borderId="22" xfId="66" applyFont="1" applyFill="1" applyBorder="1" applyAlignment="1">
      <alignment horizontal="center" vertical="center"/>
    </xf>
    <xf numFmtId="0" fontId="48" fillId="24" borderId="0" xfId="69" quotePrefix="1" applyFont="1" applyFill="1" applyAlignment="1">
      <alignment horizontal="left" vertical="top" indent="1"/>
    </xf>
    <xf numFmtId="0" fontId="35" fillId="24" borderId="0" xfId="66" applyFont="1" applyFill="1" applyAlignment="1">
      <alignment horizontal="center" vertical="center"/>
    </xf>
    <xf numFmtId="0" fontId="42" fillId="24" borderId="17" xfId="66" applyFont="1" applyFill="1" applyBorder="1" applyAlignment="1">
      <alignment horizontal="left" vertical="center"/>
    </xf>
    <xf numFmtId="0" fontId="42" fillId="24" borderId="20" xfId="66" applyFont="1" applyFill="1" applyBorder="1" applyAlignment="1">
      <alignment horizontal="left" vertical="center"/>
    </xf>
    <xf numFmtId="0" fontId="33" fillId="24" borderId="0" xfId="68" applyFont="1" applyFill="1" applyAlignment="1" applyProtection="1">
      <alignment horizontal="right" vertical="top"/>
    </xf>
    <xf numFmtId="0" fontId="32" fillId="24" borderId="0" xfId="66" applyFont="1" applyFill="1" applyAlignment="1">
      <alignment horizontal="right" vertical="top"/>
    </xf>
    <xf numFmtId="0" fontId="36" fillId="24" borderId="0" xfId="66" applyFont="1" applyFill="1" applyAlignment="1">
      <alignment horizontal="left" vertical="top"/>
    </xf>
    <xf numFmtId="0" fontId="36" fillId="24" borderId="15" xfId="66" applyFont="1" applyFill="1" applyBorder="1" applyAlignment="1">
      <alignment horizontal="left" vertical="top"/>
    </xf>
    <xf numFmtId="0" fontId="37" fillId="24" borderId="0" xfId="66" applyFont="1" applyFill="1" applyAlignment="1">
      <alignment horizontal="right" vertical="top"/>
    </xf>
    <xf numFmtId="166" fontId="31" fillId="24" borderId="0" xfId="66" applyNumberFormat="1" applyFont="1" applyFill="1" applyAlignment="1">
      <alignment horizontal="left" vertical="center"/>
    </xf>
    <xf numFmtId="0" fontId="31" fillId="24" borderId="0" xfId="67" applyFont="1" applyFill="1" applyAlignment="1">
      <alignment horizontal="left" vertical="top" wrapText="1"/>
    </xf>
    <xf numFmtId="0" fontId="31" fillId="24" borderId="0" xfId="66" applyFont="1" applyFill="1" applyAlignment="1">
      <alignment horizontal="left" vertical="top" wrapText="1"/>
    </xf>
    <xf numFmtId="0" fontId="39" fillId="24" borderId="0" xfId="66" applyFont="1" applyFill="1" applyAlignment="1">
      <alignment horizontal="left" vertical="top" wrapText="1"/>
    </xf>
    <xf numFmtId="0" fontId="32" fillId="24" borderId="0" xfId="66" applyFont="1" applyFill="1" applyAlignment="1">
      <alignment horizontal="left" vertical="top" wrapText="1"/>
    </xf>
    <xf numFmtId="0" fontId="36" fillId="24" borderId="0" xfId="66" applyFont="1" applyFill="1" applyAlignment="1">
      <alignment horizontal="center" vertical="center"/>
    </xf>
  </cellXfs>
  <cellStyles count="7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 Style1" xfId="28" xr:uid="{00000000-0005-0000-0000-00001B000000}"/>
    <cellStyle name="Comma  - Style2" xfId="29" xr:uid="{00000000-0005-0000-0000-00001C000000}"/>
    <cellStyle name="Comma  - Style3" xfId="30" xr:uid="{00000000-0005-0000-0000-00001D000000}"/>
    <cellStyle name="Comma  - Style4" xfId="31" xr:uid="{00000000-0005-0000-0000-00001E000000}"/>
    <cellStyle name="Comma  - Style5" xfId="32" xr:uid="{00000000-0005-0000-0000-00001F000000}"/>
    <cellStyle name="Comma  - Style6" xfId="33" xr:uid="{00000000-0005-0000-0000-000020000000}"/>
    <cellStyle name="Comma  - Style7" xfId="34" xr:uid="{00000000-0005-0000-0000-000021000000}"/>
    <cellStyle name="Comma  - Style8" xfId="35" xr:uid="{00000000-0005-0000-0000-000022000000}"/>
    <cellStyle name="Comma 2" xfId="36" xr:uid="{00000000-0005-0000-0000-000023000000}"/>
    <cellStyle name="Comma 2 2" xfId="37" xr:uid="{00000000-0005-0000-0000-000024000000}"/>
    <cellStyle name="Comma 3" xfId="38" xr:uid="{00000000-0005-0000-0000-000025000000}"/>
    <cellStyle name="Currency 2" xfId="39" xr:uid="{00000000-0005-0000-0000-000026000000}"/>
    <cellStyle name="Currency 2 2" xfId="40" xr:uid="{00000000-0005-0000-0000-000027000000}"/>
    <cellStyle name="Currency 3" xfId="41" xr:uid="{00000000-0005-0000-0000-000028000000}"/>
    <cellStyle name="Explanatory Text" xfId="42" builtinId="53" customBuiltin="1"/>
    <cellStyle name="Good" xfId="43" builtinId="26" customBuiltin="1"/>
    <cellStyle name="Header1" xfId="44" xr:uid="{00000000-0005-0000-0000-00002B000000}"/>
    <cellStyle name="Header2" xfId="45" xr:uid="{00000000-0005-0000-0000-00002C000000}"/>
    <cellStyle name="Heading 1" xfId="46" builtinId="16" customBuiltin="1"/>
    <cellStyle name="Heading 2" xfId="47" builtinId="17" customBuiltin="1"/>
    <cellStyle name="Heading 3" xfId="48" builtinId="18" customBuiltin="1"/>
    <cellStyle name="Heading 4" xfId="49" builtinId="19" customBuiltin="1"/>
    <cellStyle name="Hyperlink 2" xfId="50" xr:uid="{00000000-0005-0000-0000-000032000000}"/>
    <cellStyle name="Hyperlink 2 2" xfId="68" xr:uid="{00000000-0005-0000-0000-000033000000}"/>
    <cellStyle name="Input" xfId="51" builtinId="20" customBuiltin="1"/>
    <cellStyle name="IoReport" xfId="52" xr:uid="{00000000-0005-0000-0000-000035000000}"/>
    <cellStyle name="Linked Cell" xfId="53" builtinId="24" customBuiltin="1"/>
    <cellStyle name="Neutral" xfId="54" builtinId="28" customBuiltin="1"/>
    <cellStyle name="no dec" xfId="55" xr:uid="{00000000-0005-0000-0000-000038000000}"/>
    <cellStyle name="Normal" xfId="0" builtinId="0"/>
    <cellStyle name="Normal - Style1" xfId="56" xr:uid="{00000000-0005-0000-0000-00003A000000}"/>
    <cellStyle name="Normal 12" xfId="69" xr:uid="{00000000-0005-0000-0000-00003B000000}"/>
    <cellStyle name="Normal 2" xfId="57" xr:uid="{00000000-0005-0000-0000-00003C000000}"/>
    <cellStyle name="Normal 2 2 2 2" xfId="66" xr:uid="{00000000-0005-0000-0000-00003D000000}"/>
    <cellStyle name="Normal 3" xfId="58" xr:uid="{00000000-0005-0000-0000-00003E000000}"/>
    <cellStyle name="Normal 3 2 2" xfId="67" xr:uid="{00000000-0005-0000-0000-00003F000000}"/>
    <cellStyle name="Normal 4" xfId="71" xr:uid="{96B4639C-F02A-4A67-B897-C4EC1CBE0E33}"/>
    <cellStyle name="Normal 4 2" xfId="73" xr:uid="{17F74DC0-A2F3-467F-B2EB-B9E35BF137BD}"/>
    <cellStyle name="Normal 5" xfId="72" xr:uid="{7706F9A7-936E-4885-B427-77408254D395}"/>
    <cellStyle name="Note" xfId="59" builtinId="10" customBuiltin="1"/>
    <cellStyle name="Output" xfId="60" builtinId="21" customBuiltin="1"/>
    <cellStyle name="Percent" xfId="75" builtinId="5"/>
    <cellStyle name="Percent 2" xfId="61" xr:uid="{00000000-0005-0000-0000-000042000000}"/>
    <cellStyle name="Percent 2 2" xfId="62" xr:uid="{00000000-0005-0000-0000-000043000000}"/>
    <cellStyle name="Percent 2 2 2 3" xfId="70" xr:uid="{00367903-1617-46D9-B565-656AE92C4B18}"/>
    <cellStyle name="Percent 3" xfId="74" xr:uid="{794B9840-C223-4837-BEF9-E4E803512E2B}"/>
    <cellStyle name="Title" xfId="63" builtinId="15" customBuiltin="1"/>
    <cellStyle name="Total" xfId="64" builtinId="25" customBuiltin="1"/>
    <cellStyle name="Warning Text" xfId="65" builtinId="11" customBuiltin="1"/>
  </cellStyles>
  <dxfs count="0"/>
  <tableStyles count="0" defaultTableStyle="TableStyleMedium9" defaultPivotStyle="PivotStyleLight16"/>
  <colors>
    <mruColors>
      <color rgb="FF0066FF"/>
      <color rgb="FFFFFFA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170254</xdr:colOff>
      <xdr:row>0</xdr:row>
      <xdr:rowOff>114300</xdr:rowOff>
    </xdr:from>
    <xdr:to>
      <xdr:col>3</xdr:col>
      <xdr:colOff>266254</xdr:colOff>
      <xdr:row>2</xdr:row>
      <xdr:rowOff>127420</xdr:rowOff>
    </xdr:to>
    <xdr:pic>
      <xdr:nvPicPr>
        <xdr:cNvPr id="2" name="Picture 1">
          <a:extLst>
            <a:ext uri="{FF2B5EF4-FFF2-40B4-BE49-F238E27FC236}">
              <a16:creationId xmlns:a16="http://schemas.microsoft.com/office/drawing/2014/main" id="{80378D3F-CB28-4690-AE0A-A28A2428F78F}"/>
            </a:ext>
          </a:extLst>
        </xdr:cNvPr>
        <xdr:cNvPicPr preferRelativeResize="0">
          <a:picLocks/>
        </xdr:cNvPicPr>
      </xdr:nvPicPr>
      <xdr:blipFill>
        <a:blip xmlns:r="http://schemas.openxmlformats.org/officeDocument/2006/relationships" r:embed="rId1"/>
        <a:stretch>
          <a:fillRect/>
        </a:stretch>
      </xdr:blipFill>
      <xdr:spPr>
        <a:xfrm>
          <a:off x="170254" y="114300"/>
          <a:ext cx="1585364" cy="4426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6774</xdr:colOff>
      <xdr:row>1</xdr:row>
      <xdr:rowOff>48913</xdr:rowOff>
    </xdr:from>
    <xdr:to>
      <xdr:col>3</xdr:col>
      <xdr:colOff>218067</xdr:colOff>
      <xdr:row>3</xdr:row>
      <xdr:rowOff>81736</xdr:rowOff>
    </xdr:to>
    <xdr:pic>
      <xdr:nvPicPr>
        <xdr:cNvPr id="2" name="Picture 1">
          <a:extLst>
            <a:ext uri="{FF2B5EF4-FFF2-40B4-BE49-F238E27FC236}">
              <a16:creationId xmlns:a16="http://schemas.microsoft.com/office/drawing/2014/main" id="{14DCA0DD-03BD-4CAD-B006-CAFCBDAD5BE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17000"/>
                  </a14:imgEffect>
                </a14:imgLayer>
              </a14:imgProps>
            </a:ext>
          </a:extLst>
        </a:blip>
        <a:stretch>
          <a:fillRect/>
        </a:stretch>
      </xdr:blipFill>
      <xdr:spPr>
        <a:xfrm>
          <a:off x="197274" y="247033"/>
          <a:ext cx="1620993" cy="4595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73272</xdr:colOff>
      <xdr:row>0</xdr:row>
      <xdr:rowOff>114300</xdr:rowOff>
    </xdr:from>
    <xdr:to>
      <xdr:col>1</xdr:col>
      <xdr:colOff>872836</xdr:colOff>
      <xdr:row>2</xdr:row>
      <xdr:rowOff>27709</xdr:rowOff>
    </xdr:to>
    <xdr:pic>
      <xdr:nvPicPr>
        <xdr:cNvPr id="2" name="Picture 1">
          <a:extLst>
            <a:ext uri="{FF2B5EF4-FFF2-40B4-BE49-F238E27FC236}">
              <a16:creationId xmlns:a16="http://schemas.microsoft.com/office/drawing/2014/main" id="{6A1BA9BE-E54B-4D55-96A0-DB73D7E79AD4}"/>
            </a:ext>
          </a:extLst>
        </xdr:cNvPr>
        <xdr:cNvPicPr preferRelativeResize="0">
          <a:picLocks/>
        </xdr:cNvPicPr>
      </xdr:nvPicPr>
      <xdr:blipFill>
        <a:blip xmlns:r="http://schemas.openxmlformats.org/officeDocument/2006/relationships" r:embed="rId1"/>
        <a:stretch>
          <a:fillRect/>
        </a:stretch>
      </xdr:blipFill>
      <xdr:spPr>
        <a:xfrm>
          <a:off x="73272" y="114300"/>
          <a:ext cx="972746" cy="3151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MP/PAT_Lite_master/PAT_Lite_master.xls" TargetMode="External"/><Relationship Id="rId1" Type="http://schemas.openxmlformats.org/officeDocument/2006/relationships/externalLinkPath" Target="/TEMP/PAT_Lite_master/PAT_Lite_mas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EMP\PAT_Lite_master\PAT_Lite_master.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ebenedittis/MODULISTICA/Modulistica_APS/Modulistica_PROCESSO/DOC_STD_PROCESSO/EQUIP_SUMM_ital_02.xls" TargetMode="External"/><Relationship Id="rId1" Type="http://schemas.openxmlformats.org/officeDocument/2006/relationships/externalLinkPath" Target="/Debenedittis/MODULISTICA/Modulistica_APS/Modulistica_PROCESSO/DOC_STD_PROCESSO/EQUIP_SUMM_ital_02.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mp/Temporary%20Directory%201%20for%20PATLite_CondMon.zip/PATLite_CondMon.xls" TargetMode="External"/><Relationship Id="rId1" Type="http://schemas.openxmlformats.org/officeDocument/2006/relationships/externalLinkPath" Target="/Tmp/Temporary%20Directory%201%20for%20PATLite_CondMon.zip/PATLite_CondM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mp\Temporary%20Directory%201%20for%20PATLite_CondMon.zip\PATLite_CondMon.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CHEFP1/Projects$/PROJECTS%20HANDLED%201/PROJECTS%20HANDLED/Survey%20sheets/N%20E%20W%20%20%20F%20O%20R%20M%20A%20T/2RSD_Survey_Sample%20v46.xls" TargetMode="External"/><Relationship Id="rId1" Type="http://schemas.openxmlformats.org/officeDocument/2006/relationships/externalLinkPath" Target="/CHEFP1/Projects$/PROJECTS%20HANDLED%201/PROJECTS%20HANDLED/Survey%20sheets/N%20E%20W%20%20%20F%20O%20R%20M%20A%20T/2RSD_Survey_Sample%20v4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ks-fr.exnet.technip.com/sites/JeevanTPFrance/JeevanSupportFrance/Support%20Utilisateurs/FSI-P2P-P224.02-5%20(P224.02%20-%20New%20Demand%20and%20PR)%20SDM%20TEMPLATE%20E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EMP\PAT_Lite_master\PAT_Lite_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s"/>
      <sheetName val="FRONTE"/>
      <sheetName val="Aircoolers"/>
      <sheetName val="Basins"/>
      <sheetName val="Agitators"/>
      <sheetName val="Blowers"/>
      <sheetName val="Boilers"/>
      <sheetName val="Compressors"/>
      <sheetName val="Conveyors"/>
      <sheetName val="Elevator"/>
      <sheetName val="Heat Exchangers"/>
      <sheetName val="Heaters"/>
      <sheetName val="Hoppers"/>
      <sheetName val="Miscellanea"/>
      <sheetName val="Pumps"/>
      <sheetName val="Reactors"/>
      <sheetName val="Tanks"/>
      <sheetName val="Towers"/>
      <sheetName val="Turbines"/>
      <sheetName val="Vessel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ope-Global"/>
      <sheetName val="GPRack-BOM"/>
      <sheetName val="Instructions"/>
      <sheetName val="EX2100Export"/>
      <sheetName val="Customer Information"/>
      <sheetName val="RangeData"/>
      <sheetName val="Screening_Points"/>
      <sheetName val="Plant"/>
      <sheetName val="Applications"/>
      <sheetName val="WiTry"/>
      <sheetName val="Scope-HW"/>
      <sheetName val="Trendmaster Configure"/>
      <sheetName val="Scope-PartXRef"/>
      <sheetName val="Overspeed"/>
      <sheetName val="DM2K_Migration"/>
      <sheetName val="Scope-SW"/>
      <sheetName val="HW-SW"/>
      <sheetName val="PL"/>
      <sheetName val="ScopeDefaults"/>
      <sheetName val="Scope-GP-Others"/>
      <sheetName val="Spare Parts"/>
      <sheetName val="Scope-TMBOP"/>
      <sheetName val="PackSys"/>
      <sheetName val="FAT PRICING"/>
      <sheetName val="PROJECT ENGINEERING"/>
      <sheetName val="Scope-PM"/>
      <sheetName val="FormatTemplate"/>
      <sheetName val="Service Cal"/>
      <sheetName val="Service Pricing"/>
      <sheetName val="UsefulLinks"/>
      <sheetName val="3500 Rack Layout"/>
      <sheetName val="Parts List"/>
      <sheetName val="Compliance"/>
      <sheetName val="Quotation"/>
      <sheetName val="QuoteSetup"/>
      <sheetName val="QuoteLogic"/>
      <sheetName val="R2 Summary"/>
      <sheetName val="RiskReview"/>
      <sheetName val="PriceAuthority"/>
      <sheetName val="Scope-SW-V5"/>
      <sheetName val="Scope-Controls"/>
      <sheetName val="Service OTR Summary"/>
      <sheetName val="BPPricing"/>
      <sheetName val="R3 SAP interface"/>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Global"/>
      <sheetName val="GPRack-BOM"/>
      <sheetName val="Instructions"/>
      <sheetName val="EX2100Export"/>
      <sheetName val="Customer Information"/>
      <sheetName val="RangeData"/>
      <sheetName val="Screening_Points"/>
      <sheetName val="Plant"/>
      <sheetName val="Applications"/>
      <sheetName val="WiTry"/>
      <sheetName val="Scope-HW"/>
      <sheetName val="Trendmaster Configure"/>
      <sheetName val="Scope-PartXRef"/>
      <sheetName val="Overspeed"/>
      <sheetName val="DM2K_Migration"/>
      <sheetName val="Scope-SW"/>
      <sheetName val="HW-SW"/>
      <sheetName val="PL"/>
      <sheetName val="ScopeDefaults"/>
      <sheetName val="Scope-GP-Others"/>
      <sheetName val="Spare Parts"/>
      <sheetName val="Scope-TMBOP"/>
      <sheetName val="PackSys"/>
      <sheetName val="FAT PRICING"/>
      <sheetName val="PROJECT ENGINEERING"/>
      <sheetName val="Scope-PM"/>
      <sheetName val="FormatTemplate"/>
      <sheetName val="Service Cal"/>
      <sheetName val="Service Pricing"/>
      <sheetName val="UsefulLinks"/>
      <sheetName val="3500 Rack Layout"/>
      <sheetName val="Parts List"/>
      <sheetName val="Compliance"/>
      <sheetName val="Quotation"/>
      <sheetName val="QuoteSetup"/>
      <sheetName val="QuoteLogic"/>
      <sheetName val="R2 Summary"/>
      <sheetName val="RiskReview"/>
      <sheetName val="PriceAuthority"/>
      <sheetName val="Scope-SW-V5"/>
      <sheetName val="Scope-Controls"/>
      <sheetName val="Service OTR Summary"/>
      <sheetName val="BPPricing"/>
      <sheetName val="R3 SAP interface"/>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rvey"/>
      <sheetName val="EIS Field Template 1"/>
      <sheetName val="EIS Field Template 2"/>
      <sheetName val="HeaderData"/>
      <sheetName val="Units"/>
      <sheetName val="Tech Notes"/>
      <sheetName val="Sys-Aux Proposals"/>
      <sheetName val="Revision History"/>
      <sheetName val="Commercial Notes"/>
      <sheetName val="P-Design"/>
      <sheetName val="Material Code"/>
      <sheetName val="Terms &amp; Conditions"/>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emplate - Demo"/>
      <sheetName val="Proposed Template"/>
      <sheetName val="Purchase Parts"/>
      <sheetName val="UoM"/>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CCC4-D671-4584-A1B2-A02D5C816718}">
  <sheetPr codeName="Sheet4">
    <pageSetUpPr fitToPage="1"/>
  </sheetPr>
  <dimension ref="A1:T34"/>
  <sheetViews>
    <sheetView view="pageBreakPreview" topLeftCell="A9" zoomScale="110" zoomScaleSheetLayoutView="110" workbookViewId="0">
      <selection activeCell="F8" sqref="F8"/>
    </sheetView>
  </sheetViews>
  <sheetFormatPr defaultColWidth="6.44140625" defaultRowHeight="15.6" x14ac:dyDescent="0.25"/>
  <cols>
    <col min="1" max="1" width="2.5546875" style="3" customWidth="1"/>
    <col min="2" max="2" width="10.5546875" style="3" customWidth="1"/>
    <col min="3" max="17" width="8.5546875" style="3" customWidth="1"/>
    <col min="18" max="18" width="2.5546875" style="3" customWidth="1"/>
    <col min="19" max="19" width="2.6640625" style="4" customWidth="1"/>
    <col min="20" max="20" width="21.44140625" style="4" customWidth="1"/>
    <col min="21" max="16384" width="6.44140625" style="3"/>
  </cols>
  <sheetData>
    <row r="1" spans="1:18" x14ac:dyDescent="0.25">
      <c r="A1" s="122"/>
      <c r="B1" s="122"/>
    </row>
    <row r="2" spans="1:18" ht="18" x14ac:dyDescent="0.25">
      <c r="A2" s="122"/>
      <c r="B2" s="122"/>
      <c r="L2" s="124" t="s">
        <v>0</v>
      </c>
      <c r="M2" s="124"/>
      <c r="N2" s="124"/>
      <c r="O2" s="124"/>
      <c r="P2" s="124"/>
      <c r="Q2" s="124"/>
      <c r="R2" s="124"/>
    </row>
    <row r="3" spans="1:18" ht="16.5" customHeight="1" thickBot="1" x14ac:dyDescent="0.3">
      <c r="A3" s="123"/>
      <c r="B3" s="123"/>
      <c r="C3" s="5"/>
      <c r="D3" s="5"/>
      <c r="E3" s="5"/>
      <c r="F3" s="5"/>
      <c r="G3" s="5"/>
      <c r="H3" s="5"/>
      <c r="I3" s="5"/>
      <c r="J3" s="5"/>
      <c r="K3" s="5"/>
      <c r="L3" s="5"/>
      <c r="M3" s="5"/>
      <c r="N3" s="5"/>
      <c r="O3" s="5"/>
      <c r="P3" s="5"/>
      <c r="Q3" s="5"/>
      <c r="R3" s="5"/>
    </row>
    <row r="4" spans="1:18" ht="16.2" thickTop="1" x14ac:dyDescent="0.25">
      <c r="J4" s="6"/>
      <c r="K4" s="6"/>
      <c r="L4" s="6"/>
      <c r="M4" s="6"/>
    </row>
    <row r="5" spans="1:18" s="4" customFormat="1" x14ac:dyDescent="0.25">
      <c r="A5" s="3"/>
      <c r="B5" s="125">
        <v>46204</v>
      </c>
      <c r="C5" s="125"/>
      <c r="D5" s="1"/>
      <c r="E5" s="1"/>
      <c r="F5" s="1"/>
      <c r="G5" s="1"/>
      <c r="H5" s="1"/>
      <c r="I5" s="1"/>
      <c r="J5" s="7"/>
      <c r="K5" s="7"/>
      <c r="L5" s="7"/>
      <c r="M5" s="7"/>
      <c r="N5" s="1"/>
      <c r="O5" s="1"/>
      <c r="P5" s="1"/>
      <c r="Q5" s="1"/>
      <c r="R5" s="3"/>
    </row>
    <row r="6" spans="1:18" s="4" customFormat="1" x14ac:dyDescent="0.25">
      <c r="A6" s="3"/>
      <c r="B6" s="1" t="s">
        <v>1</v>
      </c>
      <c r="C6" s="12" t="s">
        <v>2</v>
      </c>
      <c r="D6" s="1"/>
      <c r="E6" s="1"/>
      <c r="F6" s="1"/>
      <c r="G6" s="1"/>
      <c r="H6" s="1"/>
      <c r="I6" s="1"/>
      <c r="J6" s="7"/>
      <c r="K6" s="7"/>
      <c r="L6" s="7"/>
      <c r="M6" s="7"/>
      <c r="N6" s="1"/>
      <c r="O6" s="1"/>
      <c r="P6" s="1"/>
      <c r="Q6" s="1"/>
      <c r="R6" s="3"/>
    </row>
    <row r="7" spans="1:18" s="4" customFormat="1" x14ac:dyDescent="0.25">
      <c r="A7" s="3"/>
      <c r="B7" s="8" t="s">
        <v>3</v>
      </c>
      <c r="C7" s="8" t="s">
        <v>4</v>
      </c>
      <c r="D7" s="1"/>
      <c r="E7" s="1"/>
      <c r="F7" s="1"/>
      <c r="G7" s="1"/>
      <c r="H7" s="1"/>
      <c r="I7" s="1"/>
      <c r="J7" s="7"/>
      <c r="K7" s="7"/>
      <c r="L7" s="7"/>
      <c r="M7" s="7"/>
      <c r="N7" s="1"/>
      <c r="O7" s="1"/>
      <c r="P7" s="1"/>
      <c r="Q7" s="1"/>
      <c r="R7" s="3"/>
    </row>
    <row r="8" spans="1:18" s="4" customFormat="1" x14ac:dyDescent="0.25">
      <c r="A8" s="3"/>
      <c r="B8" s="8" t="s">
        <v>5</v>
      </c>
      <c r="C8" s="8" t="s">
        <v>6</v>
      </c>
      <c r="D8" s="1"/>
      <c r="E8" s="1"/>
      <c r="F8" s="1"/>
      <c r="G8" s="1"/>
      <c r="H8" s="1"/>
      <c r="I8" s="1"/>
      <c r="J8" s="7"/>
      <c r="K8" s="7"/>
      <c r="L8" s="7"/>
      <c r="M8" s="7"/>
      <c r="N8" s="1"/>
      <c r="O8" s="1"/>
      <c r="P8" s="1"/>
      <c r="Q8" s="1"/>
      <c r="R8" s="3"/>
    </row>
    <row r="9" spans="1:18" s="4" customFormat="1" x14ac:dyDescent="0.25">
      <c r="A9" s="3"/>
      <c r="B9" s="8" t="s">
        <v>7</v>
      </c>
      <c r="C9" s="9" t="s">
        <v>8</v>
      </c>
      <c r="D9" s="1"/>
      <c r="E9" s="1"/>
      <c r="F9" s="1"/>
      <c r="G9" s="1"/>
      <c r="H9" s="1"/>
      <c r="I9" s="1"/>
      <c r="J9" s="7"/>
      <c r="K9" s="7"/>
      <c r="L9" s="7"/>
      <c r="M9" s="7"/>
      <c r="N9" s="1"/>
      <c r="O9" s="1"/>
      <c r="P9" s="1"/>
      <c r="Q9" s="1"/>
      <c r="R9" s="3"/>
    </row>
    <row r="10" spans="1:18" s="4" customFormat="1" x14ac:dyDescent="0.25">
      <c r="A10" s="3"/>
      <c r="B10" s="8"/>
      <c r="C10" s="9"/>
      <c r="D10" s="1"/>
      <c r="E10" s="1"/>
      <c r="F10" s="1"/>
      <c r="G10" s="1"/>
      <c r="H10" s="1"/>
      <c r="I10" s="1"/>
      <c r="J10" s="7"/>
      <c r="K10" s="7"/>
      <c r="L10" s="7"/>
      <c r="M10" s="7"/>
      <c r="N10" s="1"/>
      <c r="O10" s="1"/>
      <c r="P10" s="1"/>
      <c r="Q10" s="1"/>
      <c r="R10" s="3"/>
    </row>
    <row r="11" spans="1:18" s="4" customFormat="1" x14ac:dyDescent="0.25">
      <c r="A11" s="3"/>
      <c r="B11" s="2" t="s">
        <v>176</v>
      </c>
      <c r="C11" s="1"/>
      <c r="D11" s="1"/>
      <c r="E11" s="1"/>
      <c r="F11" s="1"/>
      <c r="G11" s="1"/>
      <c r="H11" s="1"/>
      <c r="I11" s="1"/>
      <c r="J11" s="7"/>
      <c r="K11" s="7"/>
      <c r="L11" s="1"/>
      <c r="M11" s="7"/>
      <c r="N11" s="1"/>
      <c r="O11" s="1"/>
      <c r="P11" s="1"/>
      <c r="Q11" s="1"/>
      <c r="R11" s="3"/>
    </row>
    <row r="12" spans="1:18" s="4" customFormat="1" x14ac:dyDescent="0.25">
      <c r="A12" s="3"/>
      <c r="B12" s="3" t="s">
        <v>177</v>
      </c>
      <c r="C12" s="1"/>
      <c r="D12" s="1"/>
      <c r="E12" s="1"/>
      <c r="F12" s="1"/>
      <c r="G12" s="1"/>
      <c r="H12" s="1"/>
      <c r="I12" s="1"/>
      <c r="J12" s="7"/>
      <c r="K12" s="7"/>
      <c r="L12" s="1"/>
      <c r="M12" s="7"/>
      <c r="N12" s="1"/>
      <c r="O12" s="1"/>
      <c r="P12" s="1"/>
      <c r="Q12" s="1"/>
      <c r="R12" s="3"/>
    </row>
    <row r="13" spans="1:18" s="4" customFormat="1" x14ac:dyDescent="0.25">
      <c r="A13" s="3"/>
      <c r="B13" s="3" t="s">
        <v>178</v>
      </c>
      <c r="C13" s="1"/>
      <c r="D13" s="1"/>
      <c r="E13" s="1"/>
      <c r="F13" s="1"/>
      <c r="G13" s="1"/>
      <c r="H13" s="1"/>
      <c r="I13" s="1"/>
      <c r="J13" s="7"/>
      <c r="K13" s="7"/>
      <c r="L13" s="1"/>
      <c r="M13" s="7"/>
      <c r="N13" s="1"/>
      <c r="O13" s="1"/>
      <c r="P13" s="1"/>
      <c r="Q13" s="1"/>
      <c r="R13" s="3"/>
    </row>
    <row r="14" spans="1:18" s="4" customFormat="1" x14ac:dyDescent="0.25">
      <c r="A14" s="3"/>
      <c r="B14" s="13"/>
      <c r="C14" s="1"/>
      <c r="D14" s="1"/>
      <c r="E14" s="1"/>
      <c r="F14" s="1"/>
      <c r="G14" s="1"/>
      <c r="H14" s="1"/>
      <c r="I14" s="1"/>
      <c r="J14" s="7"/>
      <c r="K14" s="7"/>
      <c r="L14" s="1"/>
      <c r="M14" s="7"/>
      <c r="N14" s="1"/>
      <c r="O14" s="1"/>
      <c r="P14" s="1"/>
      <c r="Q14" s="1"/>
      <c r="R14" s="3"/>
    </row>
    <row r="15" spans="1:18" s="4" customFormat="1" x14ac:dyDescent="0.25">
      <c r="A15" s="3"/>
      <c r="B15" s="10" t="s">
        <v>9</v>
      </c>
      <c r="C15" s="14" t="s">
        <v>175</v>
      </c>
      <c r="D15" s="3"/>
      <c r="E15" s="1"/>
      <c r="F15" s="1"/>
      <c r="G15" s="1"/>
      <c r="H15" s="1"/>
      <c r="I15" s="1"/>
      <c r="J15" s="1"/>
      <c r="K15" s="1"/>
      <c r="L15" s="1"/>
      <c r="M15" s="1"/>
      <c r="N15" s="1"/>
      <c r="O15" s="1"/>
      <c r="P15" s="1"/>
      <c r="Q15" s="1"/>
      <c r="R15" s="3"/>
    </row>
    <row r="17" spans="1:18" s="4" customFormat="1" ht="15.6" customHeight="1" x14ac:dyDescent="0.25">
      <c r="A17" s="3"/>
      <c r="B17" s="1" t="s">
        <v>10</v>
      </c>
      <c r="C17" s="126" t="s">
        <v>11</v>
      </c>
      <c r="D17" s="126"/>
      <c r="E17" s="126"/>
      <c r="F17" s="126"/>
      <c r="G17" s="126"/>
      <c r="H17" s="126"/>
      <c r="I17" s="126"/>
      <c r="J17" s="126"/>
      <c r="K17" s="126"/>
      <c r="L17" s="126"/>
      <c r="M17" s="126"/>
      <c r="N17" s="126"/>
      <c r="O17" s="126"/>
      <c r="P17" s="126"/>
      <c r="Q17" s="126"/>
      <c r="R17" s="3"/>
    </row>
    <row r="18" spans="1:18" s="4" customFormat="1" x14ac:dyDescent="0.25">
      <c r="A18" s="3"/>
      <c r="B18" s="3"/>
      <c r="C18" s="3"/>
      <c r="D18" s="3"/>
      <c r="E18" s="3"/>
      <c r="F18" s="3"/>
      <c r="G18" s="3"/>
      <c r="H18" s="3"/>
      <c r="I18" s="3"/>
      <c r="J18" s="6"/>
      <c r="K18" s="6"/>
      <c r="L18" s="6"/>
      <c r="M18" s="6"/>
      <c r="N18" s="3"/>
      <c r="O18" s="3"/>
      <c r="P18" s="3"/>
      <c r="Q18" s="3"/>
      <c r="R18" s="3"/>
    </row>
    <row r="19" spans="1:18" s="4" customFormat="1" x14ac:dyDescent="0.25">
      <c r="A19" s="3"/>
      <c r="B19" s="3" t="s">
        <v>12</v>
      </c>
      <c r="C19" s="3"/>
      <c r="D19" s="3"/>
      <c r="E19" s="3"/>
      <c r="F19" s="3"/>
      <c r="G19" s="3"/>
      <c r="H19" s="3"/>
      <c r="I19" s="3"/>
      <c r="J19" s="6"/>
      <c r="K19" s="6"/>
      <c r="L19" s="6"/>
      <c r="M19" s="6"/>
      <c r="N19" s="3"/>
      <c r="O19" s="3"/>
      <c r="P19" s="3"/>
      <c r="Q19" s="3"/>
      <c r="R19" s="3"/>
    </row>
    <row r="20" spans="1:18" s="4" customFormat="1" x14ac:dyDescent="0.25">
      <c r="A20" s="3"/>
      <c r="B20" s="3"/>
      <c r="C20" s="3"/>
      <c r="D20" s="3"/>
      <c r="E20" s="3"/>
      <c r="F20" s="3"/>
      <c r="G20" s="3"/>
      <c r="H20" s="3"/>
      <c r="I20" s="3"/>
      <c r="J20" s="6"/>
      <c r="K20" s="6"/>
      <c r="L20" s="6"/>
      <c r="M20" s="6"/>
      <c r="N20" s="3"/>
      <c r="O20" s="3"/>
      <c r="P20" s="3"/>
      <c r="Q20" s="3"/>
      <c r="R20" s="3"/>
    </row>
    <row r="21" spans="1:18" s="4" customFormat="1" ht="136.94999999999999" customHeight="1" x14ac:dyDescent="0.25">
      <c r="A21" s="3"/>
      <c r="B21" s="127" t="s">
        <v>13</v>
      </c>
      <c r="C21" s="127"/>
      <c r="D21" s="127"/>
      <c r="E21" s="127"/>
      <c r="F21" s="127"/>
      <c r="G21" s="127"/>
      <c r="H21" s="127"/>
      <c r="I21" s="127"/>
      <c r="J21" s="127"/>
      <c r="K21" s="127"/>
      <c r="L21" s="127"/>
      <c r="M21" s="127"/>
      <c r="N21" s="127"/>
      <c r="O21" s="127"/>
      <c r="P21" s="127"/>
      <c r="Q21" s="127"/>
      <c r="R21" s="11"/>
    </row>
    <row r="22" spans="1:18" s="4" customFormat="1" ht="150.6" customHeight="1" x14ac:dyDescent="0.25">
      <c r="A22" s="3"/>
      <c r="B22" s="127" t="s">
        <v>14</v>
      </c>
      <c r="C22" s="127"/>
      <c r="D22" s="127"/>
      <c r="E22" s="127"/>
      <c r="F22" s="127"/>
      <c r="G22" s="127"/>
      <c r="H22" s="127"/>
      <c r="I22" s="127"/>
      <c r="J22" s="127"/>
      <c r="K22" s="127"/>
      <c r="L22" s="127"/>
      <c r="M22" s="127"/>
      <c r="N22" s="127"/>
      <c r="O22" s="127"/>
      <c r="P22" s="127"/>
      <c r="Q22" s="127"/>
      <c r="R22" s="3"/>
    </row>
    <row r="23" spans="1:18" s="4" customFormat="1" x14ac:dyDescent="0.25">
      <c r="A23" s="3"/>
      <c r="B23" s="11"/>
      <c r="C23" s="11"/>
      <c r="D23" s="11"/>
      <c r="E23" s="11"/>
      <c r="F23" s="11"/>
      <c r="G23" s="11"/>
      <c r="H23" s="11"/>
      <c r="I23" s="11"/>
      <c r="J23" s="11"/>
      <c r="K23" s="11"/>
      <c r="L23" s="11"/>
      <c r="M23" s="11"/>
      <c r="N23" s="11"/>
      <c r="O23" s="11"/>
      <c r="P23" s="11"/>
      <c r="Q23" s="11"/>
      <c r="R23" s="3"/>
    </row>
    <row r="24" spans="1:18" s="4" customFormat="1" x14ac:dyDescent="0.25">
      <c r="A24" s="3"/>
      <c r="B24" s="3"/>
      <c r="C24" s="3"/>
      <c r="D24" s="3"/>
      <c r="E24" s="3"/>
      <c r="F24" s="3"/>
      <c r="G24" s="3"/>
      <c r="H24" s="3"/>
      <c r="I24" s="3"/>
      <c r="J24" s="6"/>
      <c r="K24" s="6"/>
      <c r="L24" s="6"/>
      <c r="M24" s="6"/>
      <c r="N24" s="3"/>
      <c r="O24" s="3"/>
      <c r="P24" s="3"/>
      <c r="Q24" s="3"/>
      <c r="R24" s="3"/>
    </row>
    <row r="25" spans="1:18" s="4" customFormat="1" x14ac:dyDescent="0.25">
      <c r="A25" s="3"/>
      <c r="B25" s="3"/>
      <c r="C25" s="3"/>
      <c r="D25" s="3"/>
      <c r="E25" s="3"/>
      <c r="F25" s="3"/>
      <c r="G25" s="3"/>
      <c r="H25" s="3"/>
      <c r="I25" s="3"/>
      <c r="J25" s="6"/>
      <c r="K25" s="6"/>
      <c r="L25" s="6"/>
      <c r="M25" s="6"/>
      <c r="N25" s="3"/>
      <c r="O25" s="3"/>
      <c r="P25" s="3"/>
      <c r="Q25" s="3"/>
      <c r="R25" s="3"/>
    </row>
    <row r="26" spans="1:18" s="4" customFormat="1" x14ac:dyDescent="0.25">
      <c r="A26" s="3"/>
      <c r="B26" s="3"/>
      <c r="C26" s="3"/>
      <c r="D26" s="3"/>
      <c r="E26" s="3"/>
      <c r="F26" s="3"/>
      <c r="G26" s="3"/>
      <c r="H26" s="3"/>
      <c r="I26" s="3"/>
      <c r="J26" s="6"/>
      <c r="K26" s="6"/>
      <c r="L26" s="6"/>
      <c r="M26" s="6"/>
      <c r="N26" s="3"/>
      <c r="O26" s="3"/>
      <c r="P26" s="3"/>
      <c r="Q26" s="3"/>
      <c r="R26" s="3"/>
    </row>
    <row r="27" spans="1:18" s="4" customFormat="1" x14ac:dyDescent="0.25">
      <c r="A27" s="3"/>
      <c r="B27" s="3"/>
      <c r="C27" s="3"/>
      <c r="D27" s="3"/>
      <c r="E27" s="3"/>
      <c r="F27" s="3"/>
      <c r="G27" s="3"/>
      <c r="H27" s="3"/>
      <c r="I27" s="3"/>
      <c r="J27" s="6"/>
      <c r="K27" s="6"/>
      <c r="L27" s="6"/>
      <c r="M27" s="6"/>
      <c r="N27" s="3"/>
      <c r="O27" s="3"/>
      <c r="P27" s="3"/>
      <c r="Q27" s="3"/>
      <c r="R27" s="3"/>
    </row>
    <row r="28" spans="1:18" s="4" customFormat="1" x14ac:dyDescent="0.25">
      <c r="A28" s="3"/>
      <c r="B28" s="3"/>
      <c r="C28" s="3"/>
      <c r="D28" s="3"/>
      <c r="E28" s="3"/>
      <c r="F28" s="3"/>
      <c r="G28" s="3"/>
      <c r="H28" s="3"/>
      <c r="I28" s="3"/>
      <c r="J28" s="6"/>
      <c r="K28" s="6"/>
      <c r="L28" s="6"/>
      <c r="M28" s="6"/>
      <c r="N28" s="3"/>
      <c r="O28" s="3"/>
      <c r="P28" s="3"/>
      <c r="Q28" s="3"/>
      <c r="R28" s="3"/>
    </row>
    <row r="29" spans="1:18" s="4" customFormat="1" x14ac:dyDescent="0.25">
      <c r="A29" s="3"/>
      <c r="B29" s="3"/>
      <c r="C29" s="3"/>
      <c r="D29" s="3"/>
      <c r="E29" s="3"/>
      <c r="F29" s="3"/>
      <c r="G29" s="3"/>
      <c r="H29" s="3"/>
      <c r="I29" s="3"/>
      <c r="J29" s="6"/>
      <c r="K29" s="6"/>
      <c r="L29" s="6"/>
      <c r="M29" s="6"/>
      <c r="N29" s="3"/>
      <c r="O29" s="3"/>
      <c r="P29" s="3"/>
      <c r="Q29" s="3"/>
      <c r="R29" s="3"/>
    </row>
    <row r="32" spans="1:18" s="4" customFormat="1" x14ac:dyDescent="0.25">
      <c r="A32" s="128"/>
      <c r="B32" s="128"/>
      <c r="C32" s="128"/>
      <c r="D32" s="128"/>
      <c r="E32" s="128"/>
      <c r="F32" s="128"/>
      <c r="G32" s="128"/>
      <c r="H32" s="128"/>
      <c r="I32" s="128"/>
      <c r="J32" s="128"/>
      <c r="K32" s="128"/>
      <c r="L32" s="128"/>
      <c r="M32" s="128"/>
      <c r="N32" s="128"/>
      <c r="O32" s="128"/>
      <c r="P32" s="121"/>
      <c r="Q32" s="121"/>
      <c r="R32" s="121"/>
    </row>
    <row r="33" spans="1:18" s="4" customFormat="1" x14ac:dyDescent="0.25">
      <c r="A33" s="129"/>
      <c r="B33" s="129"/>
      <c r="C33" s="129"/>
      <c r="D33" s="129"/>
      <c r="E33" s="129"/>
      <c r="F33" s="129"/>
      <c r="G33" s="129"/>
      <c r="H33" s="129"/>
      <c r="I33" s="129"/>
      <c r="J33" s="129"/>
      <c r="K33" s="129"/>
      <c r="L33" s="129"/>
      <c r="M33" s="129"/>
      <c r="N33" s="129"/>
      <c r="O33" s="129"/>
      <c r="P33" s="121"/>
      <c r="Q33" s="121"/>
      <c r="R33" s="121"/>
    </row>
    <row r="34" spans="1:18" s="4" customFormat="1" x14ac:dyDescent="0.25">
      <c r="A34" s="3"/>
      <c r="B34" s="3"/>
      <c r="C34" s="3"/>
      <c r="D34" s="3"/>
      <c r="E34" s="3"/>
      <c r="F34" s="3"/>
      <c r="G34" s="3"/>
      <c r="H34" s="3"/>
      <c r="I34" s="3"/>
      <c r="J34" s="3"/>
      <c r="K34" s="3"/>
      <c r="L34" s="3"/>
      <c r="M34" s="3"/>
      <c r="N34" s="3"/>
      <c r="O34" s="3"/>
      <c r="P34" s="120"/>
      <c r="Q34" s="121"/>
      <c r="R34" s="121"/>
    </row>
  </sheetData>
  <mergeCells count="11">
    <mergeCell ref="P34:R34"/>
    <mergeCell ref="A1:B3"/>
    <mergeCell ref="L2:R2"/>
    <mergeCell ref="B5:C5"/>
    <mergeCell ref="C17:Q17"/>
    <mergeCell ref="B21:Q21"/>
    <mergeCell ref="B22:Q22"/>
    <mergeCell ref="A32:O32"/>
    <mergeCell ref="P32:R32"/>
    <mergeCell ref="A33:O33"/>
    <mergeCell ref="P33:R33"/>
  </mergeCells>
  <dataValidations count="2">
    <dataValidation type="list" allowBlank="1" showInputMessage="1" showErrorMessage="1" sqref="C7" xr:uid="{D07BC93B-3C91-4051-965C-46AAF00FF4F0}">
      <formula1>"Non Binding, Binding, Budgetary"</formula1>
    </dataValidation>
    <dataValidation type="list" allowBlank="1" showInputMessage="1" showErrorMessage="1" sqref="C8" xr:uid="{6055FDAB-D223-4764-B2CE-509B9F43DDB4}">
      <formula1>"Unpriced, Priced"</formula1>
    </dataValidation>
  </dataValidations>
  <printOptions horizontalCentered="1"/>
  <pageMargins left="0.19685039370078741" right="0.19685039370078741" top="0.39370078740157483" bottom="0.39370078740157483" header="0.19685039370078741" footer="0.19685039370078741"/>
  <pageSetup paperSize="9" scale="71" orientation="portrait" r:id="rId1"/>
  <headerFooter alignWithMargins="0">
    <oddFooter>&amp;C&amp;"Candara,Bold"&amp;11&amp;K0000FFModAE India Private Limited
7th Floor, Commerce Mantri, 12, 1 &amp; 2, Bannerghatta Road, BTM Layout, 2nd Stage, BTM Layout,  Bangalore, Karnataka 560 076
CIN: U62099KA2024PTC185715, GST: 29AARCM8622J1ZQ</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7EAA-1C14-4E08-A269-2BAE89BF5A77}">
  <sheetPr codeName="Sheet5">
    <pageSetUpPr fitToPage="1"/>
  </sheetPr>
  <dimension ref="B1:U43"/>
  <sheetViews>
    <sheetView tabSelected="1" view="pageBreakPreview" topLeftCell="A25" zoomScale="85" zoomScaleNormal="100" zoomScaleSheetLayoutView="85" workbookViewId="0">
      <selection activeCell="N3" sqref="N3"/>
    </sheetView>
  </sheetViews>
  <sheetFormatPr defaultColWidth="8.6640625" defaultRowHeight="16.2" customHeight="1" x14ac:dyDescent="0.25"/>
  <cols>
    <col min="1" max="1" width="2.6640625" style="16" customWidth="1"/>
    <col min="2" max="2" width="9.6640625" style="15" customWidth="1"/>
    <col min="3" max="3" width="10.6640625" style="15" customWidth="1"/>
    <col min="4" max="4" width="28.6640625" style="15" customWidth="1"/>
    <col min="5" max="5" width="45.6640625" style="15" customWidth="1"/>
    <col min="6" max="6" width="31.44140625" style="15" customWidth="1"/>
    <col min="7" max="7" width="47.33203125" style="15" customWidth="1"/>
    <col min="8" max="8" width="13.109375" style="16" customWidth="1"/>
    <col min="9" max="10" width="12.6640625" style="16" hidden="1" customWidth="1"/>
    <col min="11" max="12" width="2.6640625" style="16" customWidth="1"/>
    <col min="13" max="13" width="15" style="16" bestFit="1" customWidth="1"/>
    <col min="14" max="14" width="12.44140625" style="16" bestFit="1" customWidth="1"/>
    <col min="15" max="15" width="13" style="16" bestFit="1" customWidth="1"/>
    <col min="16" max="16" width="12" style="16" bestFit="1" customWidth="1"/>
    <col min="17" max="17" width="13" style="16" bestFit="1" customWidth="1"/>
    <col min="18" max="18" width="12.109375" style="16" bestFit="1" customWidth="1"/>
    <col min="19" max="19" width="6.33203125" style="16" customWidth="1"/>
    <col min="20" max="20" width="10.33203125" style="16" bestFit="1" customWidth="1"/>
    <col min="21" max="22" width="8.6640625" style="16"/>
    <col min="23" max="23" width="22.33203125" style="16" customWidth="1"/>
    <col min="24" max="16384" width="8.6640625" style="16"/>
  </cols>
  <sheetData>
    <row r="1" spans="2:21" ht="16.2" customHeight="1" x14ac:dyDescent="0.25">
      <c r="M1" s="113" t="s">
        <v>15</v>
      </c>
      <c r="N1" s="113"/>
      <c r="O1" s="113"/>
      <c r="P1" s="113"/>
      <c r="Q1" s="113"/>
      <c r="R1" s="113"/>
    </row>
    <row r="2" spans="2:21" ht="16.2" customHeight="1" x14ac:dyDescent="0.25">
      <c r="M2" s="108" t="s">
        <v>16</v>
      </c>
      <c r="N2" s="88">
        <v>110</v>
      </c>
      <c r="O2" s="114" t="s">
        <v>17</v>
      </c>
      <c r="P2" s="115"/>
      <c r="Q2" s="114" t="s">
        <v>18</v>
      </c>
      <c r="R2" s="115"/>
    </row>
    <row r="3" spans="2:21" ht="18" customHeight="1" x14ac:dyDescent="0.25">
      <c r="H3" s="17" t="s">
        <v>0</v>
      </c>
      <c r="M3" s="108" t="s">
        <v>19</v>
      </c>
      <c r="N3" s="106">
        <v>0.25</v>
      </c>
      <c r="O3" s="109" t="s">
        <v>20</v>
      </c>
      <c r="P3" s="110"/>
      <c r="Q3" s="109" t="s">
        <v>20</v>
      </c>
      <c r="R3" s="110"/>
      <c r="S3" s="89"/>
    </row>
    <row r="4" spans="2:21" ht="16.2" customHeight="1" x14ac:dyDescent="0.25">
      <c r="M4" s="108" t="s">
        <v>21</v>
      </c>
      <c r="N4" s="106">
        <v>0.15</v>
      </c>
      <c r="O4" s="109" t="s">
        <v>22</v>
      </c>
      <c r="P4" s="111"/>
      <c r="Q4" s="109" t="s">
        <v>22</v>
      </c>
      <c r="R4" s="111"/>
    </row>
    <row r="5" spans="2:21" ht="18" customHeight="1" x14ac:dyDescent="0.25">
      <c r="M5" s="108" t="s">
        <v>23</v>
      </c>
      <c r="N5" s="107">
        <f>N$2*(1+N$4)*(1-N$3)</f>
        <v>94.874999999999986</v>
      </c>
      <c r="O5" s="108" t="s">
        <v>24</v>
      </c>
      <c r="P5" s="88"/>
      <c r="Q5" s="108" t="s">
        <v>24</v>
      </c>
      <c r="R5" s="88"/>
    </row>
    <row r="6" spans="2:21" ht="16.2" customHeight="1" x14ac:dyDescent="0.25">
      <c r="B6" s="117" t="str">
        <f>'Cover Letter'!C17</f>
        <v xml:space="preserve">Spares Proposal For Meggitt Sensors &amp; Accessories
</v>
      </c>
      <c r="C6" s="117"/>
      <c r="D6" s="117"/>
      <c r="E6" s="117"/>
      <c r="F6" s="117"/>
      <c r="G6" s="117"/>
      <c r="H6" s="117"/>
      <c r="I6" s="117"/>
      <c r="J6" s="117"/>
      <c r="M6" s="108" t="s">
        <v>25</v>
      </c>
      <c r="N6" s="90"/>
      <c r="O6" s="109" t="s">
        <v>26</v>
      </c>
      <c r="P6" s="111"/>
      <c r="Q6" s="109" t="s">
        <v>26</v>
      </c>
      <c r="R6" s="111"/>
    </row>
    <row r="7" spans="2:21" ht="16.2" customHeight="1" x14ac:dyDescent="0.25">
      <c r="O7" s="112" t="s">
        <v>27</v>
      </c>
      <c r="P7" s="110"/>
      <c r="Q7" s="112" t="s">
        <v>27</v>
      </c>
      <c r="R7" s="110"/>
      <c r="S7" s="56"/>
    </row>
    <row r="8" spans="2:21" ht="16.2" customHeight="1" x14ac:dyDescent="0.25">
      <c r="B8" s="32" t="s">
        <v>28</v>
      </c>
      <c r="C8" s="55"/>
      <c r="D8" s="55"/>
      <c r="E8" s="55"/>
      <c r="F8" s="55"/>
      <c r="G8" s="55"/>
      <c r="H8" s="55"/>
      <c r="I8" s="55"/>
      <c r="J8" s="55"/>
    </row>
    <row r="9" spans="2:21" ht="15" thickBot="1" x14ac:dyDescent="0.3">
      <c r="B9" s="19" t="s">
        <v>29</v>
      </c>
      <c r="C9" s="19" t="s">
        <v>30</v>
      </c>
      <c r="D9" s="19" t="s">
        <v>31</v>
      </c>
      <c r="E9" s="20" t="s">
        <v>32</v>
      </c>
      <c r="F9" s="19" t="s">
        <v>33</v>
      </c>
      <c r="G9" s="20" t="s">
        <v>34</v>
      </c>
      <c r="H9" s="19" t="s">
        <v>35</v>
      </c>
      <c r="I9" s="77" t="s">
        <v>36</v>
      </c>
      <c r="J9" s="77" t="s">
        <v>37</v>
      </c>
      <c r="M9" s="57" t="s">
        <v>36</v>
      </c>
      <c r="N9" s="57" t="s">
        <v>37</v>
      </c>
      <c r="O9" s="57" t="s">
        <v>38</v>
      </c>
      <c r="P9" s="57" t="s">
        <v>39</v>
      </c>
      <c r="R9" s="59"/>
    </row>
    <row r="10" spans="2:21" ht="43.8" thickTop="1" x14ac:dyDescent="0.25">
      <c r="B10" s="21">
        <v>1</v>
      </c>
      <c r="C10" s="22" t="s">
        <v>40</v>
      </c>
      <c r="D10" s="23" t="s">
        <v>41</v>
      </c>
      <c r="E10" s="75" t="s">
        <v>42</v>
      </c>
      <c r="F10" s="75" t="s">
        <v>43</v>
      </c>
      <c r="G10" s="75" t="s">
        <v>44</v>
      </c>
      <c r="H10" s="87">
        <v>1</v>
      </c>
      <c r="I10" s="79">
        <f>M10</f>
        <v>0</v>
      </c>
      <c r="J10" s="79">
        <f>I10*H10</f>
        <v>0</v>
      </c>
      <c r="M10" s="58">
        <f>O10/(1-P$3)</f>
        <v>0</v>
      </c>
      <c r="N10" s="58">
        <f>M10*H10</f>
        <v>0</v>
      </c>
      <c r="O10" s="58"/>
      <c r="P10" s="58">
        <f>O10*H10</f>
        <v>0</v>
      </c>
      <c r="Q10" s="38"/>
      <c r="R10" s="59"/>
    </row>
    <row r="11" spans="2:21" ht="28.8" x14ac:dyDescent="0.25">
      <c r="B11" s="24">
        <v>2</v>
      </c>
      <c r="C11" s="24" t="s">
        <v>45</v>
      </c>
      <c r="D11" s="25" t="s">
        <v>46</v>
      </c>
      <c r="E11" s="75" t="s">
        <v>47</v>
      </c>
      <c r="F11" s="75" t="s">
        <v>48</v>
      </c>
      <c r="G11" s="75" t="s">
        <v>49</v>
      </c>
      <c r="H11" s="24">
        <v>5</v>
      </c>
      <c r="I11" s="79">
        <f t="shared" ref="I11:I14" si="0">M11</f>
        <v>0</v>
      </c>
      <c r="J11" s="79">
        <f t="shared" ref="J11:J14" si="1">I11*H11</f>
        <v>0</v>
      </c>
      <c r="M11" s="58">
        <f>O11/(1-P$3)</f>
        <v>0</v>
      </c>
      <c r="N11" s="58">
        <f t="shared" ref="N11:N14" si="2">M11*H11</f>
        <v>0</v>
      </c>
      <c r="O11" s="58"/>
      <c r="P11" s="58">
        <f t="shared" ref="P11:P14" si="3">O11*H11</f>
        <v>0</v>
      </c>
      <c r="Q11" s="38"/>
      <c r="R11" s="60"/>
    </row>
    <row r="12" spans="2:21" s="38" customFormat="1" ht="14.4" x14ac:dyDescent="0.25">
      <c r="B12" s="24">
        <v>3</v>
      </c>
      <c r="C12" s="24" t="s">
        <v>50</v>
      </c>
      <c r="D12" s="81" t="s">
        <v>51</v>
      </c>
      <c r="E12" s="75" t="s">
        <v>52</v>
      </c>
      <c r="F12" s="75" t="s">
        <v>53</v>
      </c>
      <c r="G12" s="75" t="s">
        <v>54</v>
      </c>
      <c r="H12" s="24">
        <v>6</v>
      </c>
      <c r="I12" s="79">
        <f t="shared" si="0"/>
        <v>0</v>
      </c>
      <c r="J12" s="79">
        <f t="shared" si="1"/>
        <v>0</v>
      </c>
      <c r="M12" s="58">
        <f>O12/(1-P$3)</f>
        <v>0</v>
      </c>
      <c r="N12" s="58">
        <f t="shared" si="2"/>
        <v>0</v>
      </c>
      <c r="O12" s="58"/>
      <c r="P12" s="58">
        <f t="shared" si="3"/>
        <v>0</v>
      </c>
      <c r="R12" s="60"/>
      <c r="U12" s="39"/>
    </row>
    <row r="13" spans="2:21" s="38" customFormat="1" ht="43.2" x14ac:dyDescent="0.25">
      <c r="B13" s="24">
        <v>4</v>
      </c>
      <c r="C13" s="24" t="s">
        <v>40</v>
      </c>
      <c r="D13" s="25" t="s">
        <v>55</v>
      </c>
      <c r="E13" s="75" t="s">
        <v>56</v>
      </c>
      <c r="F13" s="75" t="s">
        <v>57</v>
      </c>
      <c r="G13" s="75" t="s">
        <v>58</v>
      </c>
      <c r="H13" s="24">
        <v>1</v>
      </c>
      <c r="I13" s="79">
        <f t="shared" si="0"/>
        <v>0</v>
      </c>
      <c r="J13" s="79">
        <f t="shared" si="1"/>
        <v>0</v>
      </c>
      <c r="M13" s="58">
        <f>O13/(1-P$3)</f>
        <v>0</v>
      </c>
      <c r="N13" s="58">
        <f t="shared" si="2"/>
        <v>0</v>
      </c>
      <c r="O13" s="58"/>
      <c r="P13" s="58">
        <f t="shared" si="3"/>
        <v>0</v>
      </c>
      <c r="Q13" s="16"/>
      <c r="R13" s="60"/>
      <c r="U13" s="39"/>
    </row>
    <row r="14" spans="2:21" s="38" customFormat="1" ht="29.4" thickBot="1" x14ac:dyDescent="0.3">
      <c r="B14" s="76">
        <v>5</v>
      </c>
      <c r="C14" s="24" t="s">
        <v>45</v>
      </c>
      <c r="D14" s="25" t="s">
        <v>59</v>
      </c>
      <c r="E14" s="75" t="s">
        <v>60</v>
      </c>
      <c r="F14" s="83" t="s">
        <v>61</v>
      </c>
      <c r="G14" s="83" t="s">
        <v>62</v>
      </c>
      <c r="H14" s="76">
        <v>1</v>
      </c>
      <c r="I14" s="84">
        <f t="shared" si="0"/>
        <v>0</v>
      </c>
      <c r="J14" s="84">
        <f t="shared" si="1"/>
        <v>0</v>
      </c>
      <c r="M14" s="74">
        <f>O14/(1-P$3)</f>
        <v>0</v>
      </c>
      <c r="N14" s="74">
        <f t="shared" si="2"/>
        <v>0</v>
      </c>
      <c r="O14" s="74"/>
      <c r="P14" s="74">
        <f t="shared" si="3"/>
        <v>0</v>
      </c>
      <c r="Q14" s="67"/>
      <c r="R14" s="16"/>
    </row>
    <row r="15" spans="2:21" ht="16.2" customHeight="1" thickTop="1" x14ac:dyDescent="0.25">
      <c r="B15" s="26" t="s">
        <v>63</v>
      </c>
      <c r="C15" s="118" t="str">
        <f>B8</f>
        <v>Option-1: Spare Meggitt Sensors &amp; Accessories</v>
      </c>
      <c r="D15" s="118"/>
      <c r="E15" s="118"/>
      <c r="F15" s="80"/>
      <c r="G15" s="80"/>
      <c r="H15" s="86">
        <f>J15</f>
        <v>0</v>
      </c>
      <c r="I15" s="85"/>
      <c r="J15" s="62">
        <f>SUM(J10:J14)</f>
        <v>0</v>
      </c>
      <c r="M15" s="61" t="s">
        <v>37</v>
      </c>
      <c r="N15" s="62">
        <f>SUM(N10:N14)</f>
        <v>0</v>
      </c>
      <c r="O15" s="63" t="s">
        <v>39</v>
      </c>
      <c r="P15" s="62">
        <f>SUM(P10:P14)+N6</f>
        <v>0</v>
      </c>
      <c r="Q15" s="67"/>
      <c r="R15" s="68"/>
    </row>
    <row r="16" spans="2:21" ht="16.2" customHeight="1" x14ac:dyDescent="0.25">
      <c r="B16" s="18"/>
      <c r="C16" s="18"/>
      <c r="D16" s="18"/>
      <c r="E16" s="27"/>
      <c r="F16" s="27"/>
      <c r="G16" s="27"/>
      <c r="H16" s="28"/>
      <c r="I16" s="29"/>
      <c r="J16" s="29"/>
      <c r="M16" s="65"/>
      <c r="N16" s="66"/>
      <c r="O16" s="29"/>
      <c r="P16" s="66"/>
      <c r="R16" s="68"/>
    </row>
    <row r="17" spans="2:21" ht="16.2" customHeight="1" x14ac:dyDescent="0.25">
      <c r="B17" s="69" t="s">
        <v>64</v>
      </c>
      <c r="C17" s="18"/>
      <c r="D17" s="18"/>
      <c r="E17" s="27"/>
      <c r="F17" s="27"/>
      <c r="G17" s="27"/>
      <c r="H17" s="28"/>
      <c r="I17" s="29"/>
      <c r="J17" s="29"/>
      <c r="M17" s="65"/>
      <c r="N17" s="66"/>
      <c r="O17" s="29"/>
      <c r="P17" s="66"/>
      <c r="Q17" s="67"/>
      <c r="R17" s="68"/>
    </row>
    <row r="18" spans="2:21" ht="16.2" customHeight="1" x14ac:dyDescent="0.25">
      <c r="B18" s="116" t="s">
        <v>65</v>
      </c>
      <c r="C18" s="116"/>
      <c r="D18" s="116"/>
      <c r="E18" s="116"/>
      <c r="F18" s="116"/>
      <c r="G18" s="116"/>
      <c r="H18" s="116"/>
      <c r="I18" s="116"/>
      <c r="J18" s="116"/>
      <c r="M18" s="65"/>
      <c r="N18" s="66"/>
      <c r="O18" s="29"/>
      <c r="P18" s="66"/>
      <c r="Q18" s="71"/>
      <c r="R18" s="68"/>
    </row>
    <row r="19" spans="2:21" ht="16.2" customHeight="1" x14ac:dyDescent="0.25">
      <c r="B19" s="18"/>
      <c r="C19" s="18"/>
      <c r="D19" s="18"/>
      <c r="E19" s="27"/>
      <c r="F19" s="27"/>
      <c r="G19" s="27"/>
      <c r="H19" s="28"/>
      <c r="I19" s="29"/>
      <c r="J19" s="29"/>
      <c r="M19" s="65"/>
      <c r="N19" s="66"/>
      <c r="O19" s="29"/>
      <c r="P19" s="66"/>
      <c r="Q19" s="72"/>
    </row>
    <row r="20" spans="2:21" ht="16.2" customHeight="1" x14ac:dyDescent="0.25">
      <c r="B20" s="18"/>
      <c r="C20" s="18"/>
      <c r="D20" s="18"/>
      <c r="E20" s="27"/>
      <c r="F20" s="27"/>
      <c r="G20" s="27"/>
      <c r="H20" s="28"/>
      <c r="I20" s="29"/>
      <c r="J20" s="29"/>
      <c r="M20" s="65"/>
      <c r="N20" s="66"/>
      <c r="O20" s="29"/>
      <c r="P20" s="66"/>
      <c r="Q20" s="72"/>
    </row>
    <row r="21" spans="2:21" ht="16.2" customHeight="1" x14ac:dyDescent="0.25">
      <c r="B21" s="32" t="s">
        <v>66</v>
      </c>
      <c r="C21" s="80"/>
      <c r="D21" s="55"/>
      <c r="E21" s="55"/>
      <c r="F21" s="55"/>
      <c r="G21" s="55"/>
      <c r="H21" s="55"/>
      <c r="I21" s="55"/>
      <c r="J21" s="55"/>
    </row>
    <row r="22" spans="2:21" ht="15" thickBot="1" x14ac:dyDescent="0.3">
      <c r="B22" s="19" t="s">
        <v>29</v>
      </c>
      <c r="C22" s="19" t="s">
        <v>30</v>
      </c>
      <c r="D22" s="19" t="s">
        <v>31</v>
      </c>
      <c r="E22" s="20" t="s">
        <v>32</v>
      </c>
      <c r="F22" s="19" t="s">
        <v>67</v>
      </c>
      <c r="G22" s="20" t="s">
        <v>68</v>
      </c>
      <c r="H22" s="19" t="s">
        <v>35</v>
      </c>
      <c r="I22" s="19" t="s">
        <v>36</v>
      </c>
      <c r="J22" s="19" t="s">
        <v>37</v>
      </c>
      <c r="M22" s="57" t="s">
        <v>36</v>
      </c>
      <c r="N22" s="57" t="s">
        <v>37</v>
      </c>
      <c r="O22" s="57" t="s">
        <v>38</v>
      </c>
      <c r="P22" s="57" t="s">
        <v>39</v>
      </c>
      <c r="Q22" s="57" t="s">
        <v>69</v>
      </c>
      <c r="R22" s="57" t="s">
        <v>70</v>
      </c>
    </row>
    <row r="23" spans="2:21" ht="64.2" customHeight="1" thickTop="1" x14ac:dyDescent="0.25">
      <c r="B23" s="96">
        <v>1</v>
      </c>
      <c r="C23" s="22" t="s">
        <v>40</v>
      </c>
      <c r="D23" s="23" t="s">
        <v>41</v>
      </c>
      <c r="E23" s="82" t="s">
        <v>42</v>
      </c>
      <c r="F23" s="95" t="s">
        <v>71</v>
      </c>
      <c r="G23" s="95" t="s">
        <v>72</v>
      </c>
      <c r="H23" s="87">
        <v>1</v>
      </c>
      <c r="I23" s="97">
        <f>M23</f>
        <v>0</v>
      </c>
      <c r="J23" s="97">
        <f>I23*H23</f>
        <v>0</v>
      </c>
      <c r="M23" s="91">
        <f>O23/(1-R$3)</f>
        <v>0</v>
      </c>
      <c r="N23" s="91">
        <f>M23*H23</f>
        <v>0</v>
      </c>
      <c r="O23" s="91">
        <f>Q23*N$5</f>
        <v>0</v>
      </c>
      <c r="P23" s="91">
        <f>O23*H23</f>
        <v>0</v>
      </c>
      <c r="Q23" s="100"/>
      <c r="R23" s="100">
        <f>Q23*H23</f>
        <v>0</v>
      </c>
    </row>
    <row r="24" spans="2:21" ht="64.2" customHeight="1" x14ac:dyDescent="0.25">
      <c r="B24" s="24">
        <v>2</v>
      </c>
      <c r="C24" s="24" t="s">
        <v>45</v>
      </c>
      <c r="D24" s="25" t="s">
        <v>46</v>
      </c>
      <c r="E24" s="75" t="s">
        <v>47</v>
      </c>
      <c r="F24" s="78" t="s">
        <v>73</v>
      </c>
      <c r="G24" s="78" t="s">
        <v>74</v>
      </c>
      <c r="H24" s="24">
        <v>5</v>
      </c>
      <c r="I24" s="93">
        <f t="shared" ref="I24:I27" si="4">M24</f>
        <v>0</v>
      </c>
      <c r="J24" s="93">
        <f t="shared" ref="J24:J27" si="5">I24*H24</f>
        <v>0</v>
      </c>
      <c r="M24" s="101">
        <f t="shared" ref="M24:M27" si="6">O24/(1-R$3)</f>
        <v>0</v>
      </c>
      <c r="N24" s="101">
        <f t="shared" ref="N24:N26" si="7">M24*H24</f>
        <v>0</v>
      </c>
      <c r="O24" s="101">
        <f t="shared" ref="O24:O26" si="8">Q24*N$5</f>
        <v>0</v>
      </c>
      <c r="P24" s="101">
        <f t="shared" ref="P24:P26" si="9">O24*H24</f>
        <v>0</v>
      </c>
      <c r="Q24" s="102"/>
      <c r="R24" s="100">
        <f t="shared" ref="R24:R27" si="10">Q24*H24</f>
        <v>0</v>
      </c>
    </row>
    <row r="25" spans="2:21" s="38" customFormat="1" ht="48.6" customHeight="1" x14ac:dyDescent="0.25">
      <c r="B25" s="24">
        <v>3</v>
      </c>
      <c r="C25" s="24" t="s">
        <v>50</v>
      </c>
      <c r="D25" s="81" t="s">
        <v>51</v>
      </c>
      <c r="E25" s="75" t="s">
        <v>52</v>
      </c>
      <c r="F25" s="78" t="s">
        <v>75</v>
      </c>
      <c r="G25" s="78" t="s">
        <v>76</v>
      </c>
      <c r="H25" s="24">
        <v>6</v>
      </c>
      <c r="I25" s="93">
        <f t="shared" si="4"/>
        <v>0</v>
      </c>
      <c r="J25" s="93">
        <f t="shared" si="5"/>
        <v>0</v>
      </c>
      <c r="M25" s="101">
        <f t="shared" si="6"/>
        <v>0</v>
      </c>
      <c r="N25" s="101">
        <f t="shared" si="7"/>
        <v>0</v>
      </c>
      <c r="O25" s="101">
        <f t="shared" si="8"/>
        <v>0</v>
      </c>
      <c r="P25" s="101">
        <f>O25*H25</f>
        <v>0</v>
      </c>
      <c r="Q25" s="102"/>
      <c r="R25" s="100">
        <f t="shared" si="10"/>
        <v>0</v>
      </c>
      <c r="U25" s="39"/>
    </row>
    <row r="26" spans="2:21" s="38" customFormat="1" ht="62.4" customHeight="1" x14ac:dyDescent="0.25">
      <c r="B26" s="24">
        <v>4</v>
      </c>
      <c r="C26" s="24" t="s">
        <v>40</v>
      </c>
      <c r="D26" s="25" t="s">
        <v>55</v>
      </c>
      <c r="E26" s="75" t="s">
        <v>56</v>
      </c>
      <c r="F26" s="78" t="s">
        <v>77</v>
      </c>
      <c r="G26" s="78" t="s">
        <v>78</v>
      </c>
      <c r="H26" s="24">
        <v>1</v>
      </c>
      <c r="I26" s="93">
        <f t="shared" si="4"/>
        <v>0</v>
      </c>
      <c r="J26" s="93">
        <f t="shared" si="5"/>
        <v>0</v>
      </c>
      <c r="M26" s="101">
        <f>O26/(1-R$3)</f>
        <v>0</v>
      </c>
      <c r="N26" s="101">
        <f t="shared" si="7"/>
        <v>0</v>
      </c>
      <c r="O26" s="101">
        <f t="shared" si="8"/>
        <v>0</v>
      </c>
      <c r="P26" s="101">
        <f t="shared" si="9"/>
        <v>0</v>
      </c>
      <c r="Q26" s="102"/>
      <c r="R26" s="100">
        <f t="shared" si="10"/>
        <v>0</v>
      </c>
      <c r="U26" s="39"/>
    </row>
    <row r="27" spans="2:21" s="38" customFormat="1" ht="64.2" customHeight="1" thickBot="1" x14ac:dyDescent="0.3">
      <c r="B27" s="76">
        <v>5</v>
      </c>
      <c r="C27" s="76" t="s">
        <v>45</v>
      </c>
      <c r="D27" s="104" t="s">
        <v>59</v>
      </c>
      <c r="E27" s="83" t="s">
        <v>60</v>
      </c>
      <c r="F27" s="105" t="s">
        <v>79</v>
      </c>
      <c r="G27" s="105" t="s">
        <v>80</v>
      </c>
      <c r="H27" s="76">
        <v>1</v>
      </c>
      <c r="I27" s="94">
        <f t="shared" si="4"/>
        <v>0</v>
      </c>
      <c r="J27" s="94">
        <f t="shared" si="5"/>
        <v>0</v>
      </c>
      <c r="M27" s="92">
        <f t="shared" si="6"/>
        <v>0</v>
      </c>
      <c r="N27" s="92">
        <f>M27*H27</f>
        <v>0</v>
      </c>
      <c r="O27" s="92">
        <f t="shared" ref="O27" si="11">Q27*N$5</f>
        <v>0</v>
      </c>
      <c r="P27" s="92">
        <f t="shared" ref="P27" si="12">O27*H27</f>
        <v>0</v>
      </c>
      <c r="Q27" s="103"/>
      <c r="R27" s="103">
        <f t="shared" si="10"/>
        <v>0</v>
      </c>
    </row>
    <row r="28" spans="2:21" ht="16.2" customHeight="1" thickTop="1" x14ac:dyDescent="0.25">
      <c r="B28" s="26" t="s">
        <v>63</v>
      </c>
      <c r="C28" s="119" t="str">
        <f>B21</f>
        <v>Option-2: Spare BK Vibro Sensors &amp; Accessories</v>
      </c>
      <c r="D28" s="119"/>
      <c r="E28" s="119"/>
      <c r="F28" s="80"/>
      <c r="G28" s="80"/>
      <c r="H28" s="98">
        <f>J28/0.95</f>
        <v>0</v>
      </c>
      <c r="I28" s="99"/>
      <c r="J28" s="62">
        <f>SUM(J23:J27)</f>
        <v>0</v>
      </c>
      <c r="M28" s="61" t="s">
        <v>37</v>
      </c>
      <c r="N28" s="62">
        <f>SUM(N23:N27)</f>
        <v>0</v>
      </c>
      <c r="O28" s="63" t="s">
        <v>39</v>
      </c>
      <c r="P28" s="62">
        <f>SUM(P23:P27)</f>
        <v>0</v>
      </c>
      <c r="Q28" s="63" t="s">
        <v>70</v>
      </c>
      <c r="R28" s="64">
        <f>SUM(R23:R27)</f>
        <v>0</v>
      </c>
    </row>
    <row r="29" spans="2:21" ht="16.2" customHeight="1" x14ac:dyDescent="0.25">
      <c r="B29" s="18"/>
      <c r="C29" s="18"/>
      <c r="D29" s="18"/>
      <c r="E29" s="27"/>
      <c r="F29" s="27"/>
      <c r="G29" s="27"/>
      <c r="H29" s="28"/>
      <c r="I29" s="29"/>
      <c r="J29" s="29"/>
      <c r="M29" s="65"/>
      <c r="N29" s="66"/>
      <c r="O29" s="29"/>
      <c r="P29" s="66"/>
      <c r="Q29" s="67"/>
      <c r="R29" s="68"/>
    </row>
    <row r="30" spans="2:21" ht="16.2" customHeight="1" x14ac:dyDescent="0.25">
      <c r="B30" s="69" t="s">
        <v>64</v>
      </c>
      <c r="C30" s="18"/>
      <c r="D30" s="18"/>
      <c r="E30" s="27"/>
      <c r="F30" s="27"/>
      <c r="G30" s="27"/>
      <c r="H30" s="28"/>
      <c r="I30" s="29"/>
      <c r="J30" s="29"/>
      <c r="M30" s="65"/>
      <c r="N30" s="66"/>
      <c r="O30" s="29"/>
      <c r="P30" s="66"/>
      <c r="Q30" s="67"/>
      <c r="R30" s="68"/>
    </row>
    <row r="31" spans="2:21" ht="16.2" customHeight="1" x14ac:dyDescent="0.25">
      <c r="B31" s="116" t="s">
        <v>81</v>
      </c>
      <c r="C31" s="116"/>
      <c r="D31" s="116"/>
      <c r="E31" s="116"/>
      <c r="F31" s="116"/>
      <c r="G31" s="116"/>
      <c r="H31" s="116"/>
      <c r="I31" s="116"/>
      <c r="J31" s="116"/>
      <c r="M31" s="65"/>
      <c r="N31" s="66"/>
      <c r="O31" s="29"/>
      <c r="P31" s="66"/>
      <c r="Q31" s="71"/>
      <c r="R31" s="68"/>
    </row>
    <row r="32" spans="2:21" ht="16.2" customHeight="1" x14ac:dyDescent="0.25">
      <c r="E32" s="30"/>
      <c r="F32" s="30"/>
      <c r="G32" s="30"/>
      <c r="H32" s="30"/>
      <c r="I32" s="31"/>
      <c r="J32" s="31"/>
      <c r="N32" s="70"/>
    </row>
    <row r="33" spans="2:15" ht="16.2" customHeight="1" x14ac:dyDescent="0.25">
      <c r="B33" s="32" t="s">
        <v>82</v>
      </c>
      <c r="C33" s="32"/>
      <c r="D33" s="32"/>
      <c r="E33" s="30"/>
      <c r="F33" s="30"/>
      <c r="G33" s="30"/>
      <c r="M33" s="72"/>
    </row>
    <row r="34" spans="2:15" ht="16.2" customHeight="1" x14ac:dyDescent="0.25">
      <c r="B34" s="33" t="s">
        <v>83</v>
      </c>
      <c r="C34" s="33"/>
      <c r="D34" s="33"/>
      <c r="E34" s="34"/>
      <c r="F34" s="34"/>
      <c r="G34" s="34"/>
      <c r="I34" s="35"/>
      <c r="J34" s="35"/>
      <c r="K34" s="34"/>
      <c r="M34" s="72"/>
    </row>
    <row r="35" spans="2:15" ht="16.2" customHeight="1" x14ac:dyDescent="0.25">
      <c r="B35" s="33" t="s">
        <v>84</v>
      </c>
      <c r="C35" s="33"/>
      <c r="D35" s="33"/>
      <c r="E35" s="34"/>
      <c r="F35" s="34"/>
      <c r="G35" s="34"/>
      <c r="I35" s="35"/>
      <c r="J35" s="35"/>
      <c r="K35" s="34"/>
      <c r="M35" s="73"/>
    </row>
    <row r="36" spans="2:15" ht="16.2" customHeight="1" x14ac:dyDescent="0.25">
      <c r="B36" s="33" t="s">
        <v>85</v>
      </c>
      <c r="C36" s="33"/>
      <c r="D36" s="33"/>
      <c r="E36" s="34"/>
      <c r="F36" s="34"/>
      <c r="G36" s="34"/>
      <c r="I36" s="35"/>
      <c r="J36" s="35"/>
      <c r="K36" s="34"/>
    </row>
    <row r="37" spans="2:15" ht="16.2" customHeight="1" x14ac:dyDescent="0.25">
      <c r="B37" s="33" t="s">
        <v>86</v>
      </c>
      <c r="C37" s="33"/>
      <c r="D37" s="33"/>
      <c r="E37" s="34"/>
      <c r="F37" s="34"/>
      <c r="G37" s="34"/>
      <c r="I37" s="35"/>
      <c r="J37" s="35"/>
      <c r="K37" s="34"/>
      <c r="O37" s="72"/>
    </row>
    <row r="38" spans="2:15" ht="16.2" customHeight="1" x14ac:dyDescent="0.25">
      <c r="B38" s="33" t="s">
        <v>87</v>
      </c>
      <c r="C38" s="33"/>
      <c r="D38" s="33"/>
      <c r="E38" s="34"/>
      <c r="F38" s="34"/>
      <c r="G38" s="34"/>
      <c r="I38" s="35"/>
      <c r="J38" s="35"/>
      <c r="K38" s="34"/>
    </row>
    <row r="39" spans="2:15" ht="16.2" customHeight="1" x14ac:dyDescent="0.25">
      <c r="B39" s="33" t="s">
        <v>88</v>
      </c>
      <c r="C39" s="33"/>
      <c r="D39" s="33"/>
      <c r="E39" s="34"/>
      <c r="F39" s="34"/>
      <c r="G39" s="34"/>
      <c r="I39" s="35"/>
      <c r="J39" s="35"/>
      <c r="K39" s="34"/>
    </row>
    <row r="40" spans="2:15" ht="16.2" customHeight="1" x14ac:dyDescent="0.25">
      <c r="B40" s="33" t="s">
        <v>89</v>
      </c>
      <c r="C40" s="33"/>
      <c r="D40" s="33"/>
      <c r="E40" s="34"/>
      <c r="F40" s="34"/>
      <c r="G40" s="34"/>
      <c r="I40" s="35"/>
      <c r="J40" s="35"/>
      <c r="K40" s="34"/>
    </row>
    <row r="43" spans="2:15" ht="16.2" customHeight="1" x14ac:dyDescent="0.25">
      <c r="J43" s="36"/>
    </row>
  </sheetData>
  <mergeCells count="8">
    <mergeCell ref="M1:R1"/>
    <mergeCell ref="O2:P2"/>
    <mergeCell ref="Q2:R2"/>
    <mergeCell ref="B18:J18"/>
    <mergeCell ref="B31:J31"/>
    <mergeCell ref="B6:J6"/>
    <mergeCell ref="C15:E15"/>
    <mergeCell ref="C28:E28"/>
  </mergeCells>
  <phoneticPr fontId="4" type="noConversion"/>
  <printOptions horizontalCentered="1"/>
  <pageMargins left="0" right="0" top="0.19685039370078741" bottom="0" header="0" footer="0"/>
  <pageSetup paperSize="9" scale="79" fitToHeight="0" orientation="landscape" r:id="rId1"/>
  <rowBreaks count="1" manualBreakCount="1">
    <brk id="19"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9D9C5-8E59-4111-820F-EB0FE126B42D}">
  <dimension ref="A1:A14"/>
  <sheetViews>
    <sheetView workbookViewId="0">
      <selection activeCell="A3" sqref="A3"/>
    </sheetView>
  </sheetViews>
  <sheetFormatPr defaultRowHeight="13.2" x14ac:dyDescent="0.25"/>
  <sheetData>
    <row r="1" spans="1:1" x14ac:dyDescent="0.25">
      <c r="A1" s="37" t="s">
        <v>90</v>
      </c>
    </row>
    <row r="2" spans="1:1" x14ac:dyDescent="0.25">
      <c r="A2" s="48" t="s">
        <v>91</v>
      </c>
    </row>
    <row r="3" spans="1:1" x14ac:dyDescent="0.25">
      <c r="A3" s="48" t="s">
        <v>92</v>
      </c>
    </row>
    <row r="4" spans="1:1" x14ac:dyDescent="0.25">
      <c r="A4" s="37" t="s">
        <v>93</v>
      </c>
    </row>
    <row r="5" spans="1:1" ht="13.95" customHeight="1" x14ac:dyDescent="0.25">
      <c r="A5" s="37" t="s">
        <v>94</v>
      </c>
    </row>
    <row r="6" spans="1:1" x14ac:dyDescent="0.25">
      <c r="A6" s="37"/>
    </row>
    <row r="7" spans="1:1" x14ac:dyDescent="0.25">
      <c r="A7" s="37"/>
    </row>
    <row r="8" spans="1:1" x14ac:dyDescent="0.25">
      <c r="A8" s="37"/>
    </row>
    <row r="9" spans="1:1" x14ac:dyDescent="0.25">
      <c r="A9" s="37" t="s">
        <v>95</v>
      </c>
    </row>
    <row r="10" spans="1:1" x14ac:dyDescent="0.25">
      <c r="A10" s="37"/>
    </row>
    <row r="11" spans="1:1" x14ac:dyDescent="0.25">
      <c r="A11" s="37"/>
    </row>
    <row r="12" spans="1:1" x14ac:dyDescent="0.25">
      <c r="A12" s="37"/>
    </row>
    <row r="13" spans="1:1" x14ac:dyDescent="0.25">
      <c r="A13" s="37"/>
    </row>
    <row r="14" spans="1:1" x14ac:dyDescent="0.25">
      <c r="A14"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C8F1-B7EB-4FD1-9942-259A72D808A1}">
  <sheetPr codeName="Sheet6">
    <pageSetUpPr fitToPage="1"/>
  </sheetPr>
  <dimension ref="A1:H65"/>
  <sheetViews>
    <sheetView view="pageBreakPreview" zoomScaleSheetLayoutView="100" workbookViewId="0">
      <selection activeCell="H3" sqref="H3"/>
    </sheetView>
  </sheetViews>
  <sheetFormatPr defaultColWidth="6.44140625" defaultRowHeight="15.6" x14ac:dyDescent="0.25"/>
  <cols>
    <col min="1" max="1" width="2.5546875" style="3" customWidth="1"/>
    <col min="2" max="2" width="29.88671875" style="3" bestFit="1" customWidth="1"/>
    <col min="3" max="3" width="40.6640625" style="3" bestFit="1" customWidth="1"/>
    <col min="4" max="4" width="32.109375" style="3" bestFit="1" customWidth="1"/>
    <col min="5" max="5" width="23.6640625" style="3" customWidth="1"/>
    <col min="6" max="6" width="2.5546875" style="3" customWidth="1"/>
    <col min="7" max="7" width="2.5546875" style="4" customWidth="1"/>
    <col min="8" max="8" width="21.44140625" style="4" customWidth="1"/>
    <col min="9" max="16384" width="6.44140625" style="3"/>
  </cols>
  <sheetData>
    <row r="1" spans="1:6" x14ac:dyDescent="0.25">
      <c r="A1" s="122"/>
      <c r="B1" s="122"/>
    </row>
    <row r="2" spans="1:6" x14ac:dyDescent="0.25">
      <c r="A2" s="122"/>
      <c r="B2" s="122"/>
      <c r="E2" s="45" t="s">
        <v>0</v>
      </c>
    </row>
    <row r="3" spans="1:6" ht="16.5" customHeight="1" thickBot="1" x14ac:dyDescent="0.3">
      <c r="A3" s="123"/>
      <c r="B3" s="123"/>
      <c r="C3" s="5"/>
      <c r="D3" s="5"/>
      <c r="E3" s="5"/>
      <c r="F3" s="5"/>
    </row>
    <row r="4" spans="1:6" ht="16.5" customHeight="1" thickTop="1" x14ac:dyDescent="0.25">
      <c r="A4" s="47"/>
      <c r="B4" s="47"/>
    </row>
    <row r="5" spans="1:6" ht="16.5" customHeight="1" x14ac:dyDescent="0.25">
      <c r="A5" s="47"/>
      <c r="B5" s="130" t="s">
        <v>96</v>
      </c>
      <c r="C5" s="130"/>
      <c r="D5" s="130"/>
      <c r="E5" s="130"/>
    </row>
    <row r="7" spans="1:6" s="15" customFormat="1" ht="41.4" customHeight="1" x14ac:dyDescent="0.25">
      <c r="A7" s="7"/>
      <c r="B7" s="49" t="s">
        <v>97</v>
      </c>
      <c r="C7" s="49" t="s">
        <v>98</v>
      </c>
      <c r="D7" s="49" t="s">
        <v>99</v>
      </c>
      <c r="E7" s="49" t="s">
        <v>100</v>
      </c>
      <c r="F7" s="7"/>
    </row>
    <row r="8" spans="1:6" s="4" customFormat="1" ht="14.4" customHeight="1" x14ac:dyDescent="0.25">
      <c r="A8" s="3"/>
      <c r="B8" s="46" t="s">
        <v>101</v>
      </c>
      <c r="C8" s="46" t="s">
        <v>102</v>
      </c>
      <c r="D8" s="46" t="s">
        <v>102</v>
      </c>
      <c r="E8" s="51" t="s">
        <v>103</v>
      </c>
      <c r="F8" s="1"/>
    </row>
    <row r="9" spans="1:6" s="4" customFormat="1" ht="14.4" customHeight="1" x14ac:dyDescent="0.25">
      <c r="A9" s="3"/>
      <c r="B9" s="46" t="s">
        <v>104</v>
      </c>
      <c r="C9" s="46" t="s">
        <v>105</v>
      </c>
      <c r="D9" s="46" t="s">
        <v>105</v>
      </c>
      <c r="E9" s="51" t="s">
        <v>103</v>
      </c>
      <c r="F9" s="1"/>
    </row>
    <row r="10" spans="1:6" s="4" customFormat="1" ht="14.4" customHeight="1" x14ac:dyDescent="0.25">
      <c r="A10" s="3"/>
      <c r="B10" s="46" t="s">
        <v>106</v>
      </c>
      <c r="C10" s="46" t="s">
        <v>107</v>
      </c>
      <c r="D10" s="46" t="s">
        <v>107</v>
      </c>
      <c r="E10" s="51" t="s">
        <v>103</v>
      </c>
      <c r="F10" s="1"/>
    </row>
    <row r="11" spans="1:6" s="4" customFormat="1" ht="14.4" customHeight="1" x14ac:dyDescent="0.25">
      <c r="A11" s="3"/>
      <c r="B11" s="46" t="s">
        <v>108</v>
      </c>
      <c r="C11" s="46" t="s">
        <v>109</v>
      </c>
      <c r="D11" s="46" t="s">
        <v>109</v>
      </c>
      <c r="E11" s="51" t="s">
        <v>103</v>
      </c>
      <c r="F11" s="1"/>
    </row>
    <row r="12" spans="1:6" s="4" customFormat="1" ht="14.4" customHeight="1" x14ac:dyDescent="0.25">
      <c r="A12" s="3"/>
      <c r="B12" s="46" t="s">
        <v>110</v>
      </c>
      <c r="C12" s="46" t="s">
        <v>111</v>
      </c>
      <c r="D12" s="46" t="s">
        <v>111</v>
      </c>
      <c r="E12" s="51" t="s">
        <v>103</v>
      </c>
      <c r="F12" s="1"/>
    </row>
    <row r="13" spans="1:6" s="4" customFormat="1" ht="14.4" customHeight="1" x14ac:dyDescent="0.25">
      <c r="A13" s="3"/>
      <c r="B13" s="46" t="s">
        <v>112</v>
      </c>
      <c r="C13" s="46" t="s">
        <v>113</v>
      </c>
      <c r="D13" s="46" t="s">
        <v>113</v>
      </c>
      <c r="E13" s="51" t="s">
        <v>103</v>
      </c>
      <c r="F13" s="1"/>
    </row>
    <row r="14" spans="1:6" s="4" customFormat="1" ht="14.4" customHeight="1" x14ac:dyDescent="0.25">
      <c r="A14" s="3"/>
      <c r="B14" s="46" t="s">
        <v>114</v>
      </c>
      <c r="C14" s="46" t="s">
        <v>115</v>
      </c>
      <c r="D14" s="46" t="s">
        <v>116</v>
      </c>
      <c r="E14" s="52" t="s">
        <v>117</v>
      </c>
      <c r="F14" s="1"/>
    </row>
    <row r="15" spans="1:6" s="4" customFormat="1" ht="14.4" customHeight="1" x14ac:dyDescent="0.25">
      <c r="A15" s="3"/>
      <c r="B15" s="46" t="s">
        <v>118</v>
      </c>
      <c r="C15" s="46" t="s">
        <v>119</v>
      </c>
      <c r="D15" s="46" t="s">
        <v>120</v>
      </c>
      <c r="E15" s="52" t="s">
        <v>117</v>
      </c>
      <c r="F15" s="41"/>
    </row>
    <row r="16" spans="1:6" s="4" customFormat="1" ht="14.4" customHeight="1" x14ac:dyDescent="0.25">
      <c r="A16" s="3"/>
      <c r="B16" s="46" t="s">
        <v>121</v>
      </c>
      <c r="C16" s="46" t="s">
        <v>122</v>
      </c>
      <c r="D16" s="46" t="s">
        <v>123</v>
      </c>
      <c r="E16" s="53" t="s">
        <v>124</v>
      </c>
      <c r="F16" s="42"/>
    </row>
    <row r="17" spans="1:6" s="4" customFormat="1" ht="14.4" customHeight="1" x14ac:dyDescent="0.25">
      <c r="A17" s="3"/>
      <c r="B17" s="46" t="s">
        <v>125</v>
      </c>
      <c r="C17" s="46" t="s">
        <v>126</v>
      </c>
      <c r="D17" s="46" t="s">
        <v>123</v>
      </c>
      <c r="E17" s="53" t="s">
        <v>124</v>
      </c>
      <c r="F17" s="3"/>
    </row>
    <row r="18" spans="1:6" s="4" customFormat="1" ht="14.4" customHeight="1" x14ac:dyDescent="0.25">
      <c r="A18" s="3"/>
      <c r="B18" s="46" t="s">
        <v>127</v>
      </c>
      <c r="C18" s="46" t="s">
        <v>128</v>
      </c>
      <c r="D18" s="46" t="s">
        <v>129</v>
      </c>
      <c r="E18" s="51" t="s">
        <v>103</v>
      </c>
      <c r="F18" s="40"/>
    </row>
    <row r="19" spans="1:6" s="4" customFormat="1" ht="14.4" customHeight="1" x14ac:dyDescent="0.25">
      <c r="A19" s="3"/>
      <c r="B19" s="46" t="s">
        <v>130</v>
      </c>
      <c r="C19" s="46" t="s">
        <v>131</v>
      </c>
      <c r="D19" s="46" t="s">
        <v>132</v>
      </c>
      <c r="E19" s="51" t="s">
        <v>103</v>
      </c>
      <c r="F19" s="11"/>
    </row>
    <row r="20" spans="1:6" s="4" customFormat="1" ht="14.4" customHeight="1" x14ac:dyDescent="0.25">
      <c r="A20" s="3"/>
      <c r="B20" s="46" t="s">
        <v>133</v>
      </c>
      <c r="C20" s="46" t="s">
        <v>134</v>
      </c>
      <c r="D20" s="46" t="s">
        <v>135</v>
      </c>
      <c r="E20" s="51" t="s">
        <v>103</v>
      </c>
      <c r="F20" s="3"/>
    </row>
    <row r="21" spans="1:6" s="4" customFormat="1" ht="14.4" customHeight="1" x14ac:dyDescent="0.25">
      <c r="A21" s="3"/>
      <c r="B21" s="46" t="s">
        <v>136</v>
      </c>
      <c r="C21" s="46" t="s">
        <v>137</v>
      </c>
      <c r="D21" s="46" t="s">
        <v>138</v>
      </c>
      <c r="E21" s="50" t="s">
        <v>139</v>
      </c>
      <c r="F21" s="3"/>
    </row>
    <row r="22" spans="1:6" s="4" customFormat="1" ht="14.4" customHeight="1" x14ac:dyDescent="0.25">
      <c r="A22" s="3"/>
      <c r="B22" s="46" t="s">
        <v>140</v>
      </c>
      <c r="C22" s="46" t="s">
        <v>141</v>
      </c>
      <c r="D22" s="46" t="s">
        <v>142</v>
      </c>
      <c r="E22" s="51" t="s">
        <v>103</v>
      </c>
      <c r="F22" s="3"/>
    </row>
    <row r="23" spans="1:6" s="4" customFormat="1" ht="14.4" customHeight="1" x14ac:dyDescent="0.25">
      <c r="A23" s="3"/>
      <c r="B23" s="46" t="s">
        <v>143</v>
      </c>
      <c r="C23" s="46" t="s">
        <v>144</v>
      </c>
      <c r="D23" s="46" t="s">
        <v>145</v>
      </c>
      <c r="E23" s="54" t="s">
        <v>146</v>
      </c>
      <c r="F23" s="3"/>
    </row>
    <row r="24" spans="1:6" s="4" customFormat="1" ht="14.4" customHeight="1" x14ac:dyDescent="0.25">
      <c r="A24" s="3"/>
      <c r="B24" s="46" t="s">
        <v>147</v>
      </c>
      <c r="C24" s="46" t="s">
        <v>144</v>
      </c>
      <c r="D24" s="46" t="s">
        <v>148</v>
      </c>
      <c r="E24" s="53" t="s">
        <v>149</v>
      </c>
      <c r="F24" s="3"/>
    </row>
    <row r="25" spans="1:6" s="4" customFormat="1" ht="14.4" customHeight="1" x14ac:dyDescent="0.25">
      <c r="A25" s="3"/>
      <c r="B25" s="46" t="s">
        <v>150</v>
      </c>
      <c r="C25" s="46" t="s">
        <v>151</v>
      </c>
      <c r="D25" s="46" t="s">
        <v>152</v>
      </c>
      <c r="E25" s="50" t="s">
        <v>139</v>
      </c>
      <c r="F25" s="3"/>
    </row>
    <row r="26" spans="1:6" ht="14.4" customHeight="1" x14ac:dyDescent="0.25">
      <c r="B26" s="46" t="s">
        <v>153</v>
      </c>
      <c r="C26" s="46" t="s">
        <v>154</v>
      </c>
      <c r="D26" s="46" t="s">
        <v>155</v>
      </c>
      <c r="E26" s="51" t="s">
        <v>103</v>
      </c>
    </row>
    <row r="27" spans="1:6" ht="14.4" customHeight="1" x14ac:dyDescent="0.25">
      <c r="B27" s="46" t="s">
        <v>156</v>
      </c>
      <c r="C27" s="46" t="s">
        <v>157</v>
      </c>
      <c r="D27" s="46" t="s">
        <v>158</v>
      </c>
      <c r="E27" s="51" t="s">
        <v>103</v>
      </c>
    </row>
    <row r="28" spans="1:6" s="4" customFormat="1" ht="14.4" customHeight="1" x14ac:dyDescent="0.25">
      <c r="A28" s="43"/>
      <c r="B28" s="46" t="s">
        <v>159</v>
      </c>
      <c r="C28" s="46" t="s">
        <v>160</v>
      </c>
      <c r="D28" s="46" t="s">
        <v>161</v>
      </c>
      <c r="E28" s="52" t="s">
        <v>117</v>
      </c>
      <c r="F28" s="43"/>
    </row>
    <row r="29" spans="1:6" s="4" customFormat="1" ht="14.4" customHeight="1" x14ac:dyDescent="0.25">
      <c r="A29" s="44"/>
      <c r="B29" s="46" t="s">
        <v>162</v>
      </c>
      <c r="C29" s="46" t="s">
        <v>163</v>
      </c>
      <c r="D29" s="46" t="s">
        <v>164</v>
      </c>
      <c r="E29" s="52" t="s">
        <v>117</v>
      </c>
      <c r="F29" s="44"/>
    </row>
    <row r="30" spans="1:6" s="4" customFormat="1" ht="14.4" customHeight="1" x14ac:dyDescent="0.25">
      <c r="A30" s="3"/>
      <c r="B30" s="46" t="s">
        <v>165</v>
      </c>
      <c r="C30" s="46" t="s">
        <v>166</v>
      </c>
      <c r="D30" s="46" t="s">
        <v>167</v>
      </c>
      <c r="E30" s="51" t="s">
        <v>103</v>
      </c>
      <c r="F30" s="3"/>
    </row>
    <row r="31" spans="1:6" ht="14.4" customHeight="1" x14ac:dyDescent="0.25">
      <c r="B31" s="46" t="s">
        <v>168</v>
      </c>
      <c r="C31" s="46" t="s">
        <v>157</v>
      </c>
      <c r="D31" s="46" t="s">
        <v>157</v>
      </c>
      <c r="E31" s="51" t="s">
        <v>103</v>
      </c>
    </row>
    <row r="32" spans="1:6" ht="14.4" customHeight="1" x14ac:dyDescent="0.25">
      <c r="B32" s="46" t="s">
        <v>169</v>
      </c>
      <c r="C32" s="46" t="s">
        <v>157</v>
      </c>
      <c r="D32" s="46" t="s">
        <v>157</v>
      </c>
      <c r="E32" s="51" t="s">
        <v>103</v>
      </c>
    </row>
    <row r="33" spans="2:5" ht="14.4" customHeight="1" x14ac:dyDescent="0.25">
      <c r="B33" s="46" t="s">
        <v>170</v>
      </c>
      <c r="C33" s="46" t="s">
        <v>157</v>
      </c>
      <c r="D33" s="46" t="s">
        <v>157</v>
      </c>
      <c r="E33" s="51" t="s">
        <v>103</v>
      </c>
    </row>
    <row r="34" spans="2:5" ht="14.4" customHeight="1" x14ac:dyDescent="0.25">
      <c r="B34" s="46" t="s">
        <v>171</v>
      </c>
      <c r="C34" s="46" t="s">
        <v>157</v>
      </c>
      <c r="D34" s="46" t="s">
        <v>157</v>
      </c>
      <c r="E34" s="51" t="s">
        <v>103</v>
      </c>
    </row>
    <row r="36" spans="2:5" x14ac:dyDescent="0.25">
      <c r="B36" s="130" t="s">
        <v>172</v>
      </c>
      <c r="C36" s="130"/>
      <c r="D36" s="130"/>
      <c r="E36" s="130"/>
    </row>
    <row r="38" spans="2:5" x14ac:dyDescent="0.25">
      <c r="B38" s="49" t="s">
        <v>97</v>
      </c>
      <c r="C38" s="49" t="s">
        <v>173</v>
      </c>
      <c r="D38" s="49" t="s">
        <v>174</v>
      </c>
      <c r="E38" s="49" t="s">
        <v>100</v>
      </c>
    </row>
    <row r="39" spans="2:5" x14ac:dyDescent="0.25">
      <c r="B39" s="46"/>
      <c r="C39" s="46"/>
      <c r="D39" s="46"/>
      <c r="E39" s="46"/>
    </row>
    <row r="40" spans="2:5" x14ac:dyDescent="0.25">
      <c r="B40" s="46"/>
      <c r="C40" s="46"/>
      <c r="D40" s="46"/>
      <c r="E40" s="46"/>
    </row>
    <row r="41" spans="2:5" x14ac:dyDescent="0.25">
      <c r="B41" s="46"/>
      <c r="C41" s="46"/>
      <c r="D41" s="46"/>
      <c r="E41" s="46"/>
    </row>
    <row r="42" spans="2:5" x14ac:dyDescent="0.25">
      <c r="B42" s="46"/>
      <c r="C42" s="46"/>
      <c r="D42" s="46"/>
      <c r="E42" s="46"/>
    </row>
    <row r="43" spans="2:5" x14ac:dyDescent="0.25">
      <c r="B43" s="46"/>
      <c r="C43" s="46"/>
      <c r="D43" s="46"/>
      <c r="E43" s="46"/>
    </row>
    <row r="44" spans="2:5" x14ac:dyDescent="0.25">
      <c r="B44" s="46"/>
      <c r="C44" s="46"/>
      <c r="D44" s="46"/>
      <c r="E44" s="46"/>
    </row>
    <row r="45" spans="2:5" x14ac:dyDescent="0.25">
      <c r="B45" s="46"/>
      <c r="C45" s="46"/>
      <c r="D45" s="46"/>
      <c r="E45" s="46"/>
    </row>
    <row r="46" spans="2:5" x14ac:dyDescent="0.25">
      <c r="B46" s="46"/>
      <c r="C46" s="46"/>
      <c r="D46" s="46"/>
      <c r="E46" s="46"/>
    </row>
    <row r="47" spans="2:5" x14ac:dyDescent="0.25">
      <c r="B47" s="46"/>
      <c r="C47" s="46"/>
      <c r="D47" s="46"/>
      <c r="E47" s="46"/>
    </row>
    <row r="48" spans="2:5" x14ac:dyDescent="0.25">
      <c r="B48" s="46"/>
      <c r="C48" s="46"/>
      <c r="D48" s="46"/>
      <c r="E48" s="46"/>
    </row>
    <row r="49" spans="2:5" x14ac:dyDescent="0.25">
      <c r="B49" s="46"/>
      <c r="C49" s="46"/>
      <c r="D49" s="46"/>
      <c r="E49" s="46"/>
    </row>
    <row r="50" spans="2:5" x14ac:dyDescent="0.25">
      <c r="B50" s="46"/>
      <c r="C50" s="46"/>
      <c r="D50" s="46"/>
      <c r="E50" s="46"/>
    </row>
    <row r="51" spans="2:5" x14ac:dyDescent="0.25">
      <c r="B51" s="46"/>
      <c r="C51" s="46"/>
      <c r="D51" s="46"/>
      <c r="E51" s="46"/>
    </row>
    <row r="52" spans="2:5" x14ac:dyDescent="0.25">
      <c r="B52" s="46"/>
      <c r="C52" s="46"/>
      <c r="D52" s="46"/>
      <c r="E52" s="46"/>
    </row>
    <row r="53" spans="2:5" x14ac:dyDescent="0.25">
      <c r="B53" s="46"/>
      <c r="C53" s="46"/>
      <c r="D53" s="46"/>
      <c r="E53" s="46"/>
    </row>
    <row r="54" spans="2:5" x14ac:dyDescent="0.25">
      <c r="B54" s="46"/>
      <c r="C54" s="46"/>
      <c r="D54" s="46"/>
      <c r="E54" s="46"/>
    </row>
    <row r="55" spans="2:5" x14ac:dyDescent="0.25">
      <c r="B55" s="46"/>
      <c r="C55" s="46"/>
      <c r="D55" s="46"/>
      <c r="E55" s="46"/>
    </row>
    <row r="56" spans="2:5" x14ac:dyDescent="0.25">
      <c r="B56" s="46"/>
      <c r="C56" s="46"/>
      <c r="D56" s="46"/>
      <c r="E56" s="46"/>
    </row>
    <row r="57" spans="2:5" x14ac:dyDescent="0.25">
      <c r="B57" s="46"/>
      <c r="C57" s="46"/>
      <c r="D57" s="46"/>
      <c r="E57" s="46"/>
    </row>
    <row r="58" spans="2:5" x14ac:dyDescent="0.25">
      <c r="B58" s="46"/>
      <c r="C58" s="46"/>
      <c r="D58" s="46"/>
      <c r="E58" s="46"/>
    </row>
    <row r="59" spans="2:5" x14ac:dyDescent="0.25">
      <c r="B59" s="46"/>
      <c r="C59" s="46"/>
      <c r="D59" s="46"/>
      <c r="E59" s="46"/>
    </row>
    <row r="60" spans="2:5" x14ac:dyDescent="0.25">
      <c r="B60" s="46"/>
      <c r="C60" s="46"/>
      <c r="D60" s="46"/>
      <c r="E60" s="46"/>
    </row>
    <row r="61" spans="2:5" x14ac:dyDescent="0.25">
      <c r="B61" s="46"/>
      <c r="C61" s="46"/>
      <c r="D61" s="46"/>
      <c r="E61" s="46"/>
    </row>
    <row r="62" spans="2:5" x14ac:dyDescent="0.25">
      <c r="B62" s="46"/>
      <c r="C62" s="46"/>
      <c r="D62" s="46"/>
      <c r="E62" s="46"/>
    </row>
    <row r="63" spans="2:5" x14ac:dyDescent="0.25">
      <c r="B63" s="46"/>
      <c r="C63" s="46"/>
      <c r="D63" s="46"/>
      <c r="E63" s="46"/>
    </row>
    <row r="64" spans="2:5" x14ac:dyDescent="0.25">
      <c r="B64" s="46"/>
      <c r="C64" s="46"/>
      <c r="D64" s="46"/>
      <c r="E64" s="46"/>
    </row>
    <row r="65" spans="2:5" x14ac:dyDescent="0.25">
      <c r="B65" s="46"/>
      <c r="C65" s="46"/>
      <c r="D65" s="46"/>
      <c r="E65" s="46"/>
    </row>
  </sheetData>
  <mergeCells count="3">
    <mergeCell ref="A1:B3"/>
    <mergeCell ref="B5:E5"/>
    <mergeCell ref="B36:E36"/>
  </mergeCells>
  <printOptions horizontalCentered="1"/>
  <pageMargins left="0.19685039370078741" right="0.19685039370078741" top="0.39370078740157483" bottom="0.39370078740157483" header="0.19685039370078741" footer="0.19685039370078741"/>
  <pageSetup paperSize="9" scale="54" orientation="landscape" r:id="rId1"/>
  <headerFooter alignWithMargins="0">
    <oddFooter>&amp;C&amp;"Candara,Bold"&amp;11&amp;K0000FFDeviation Sheet</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358CDC6B8C1447B1B542AC5F0639D6" ma:contentTypeVersion="12" ma:contentTypeDescription="Create a new document." ma:contentTypeScope="" ma:versionID="b0d8a3e7e4f607dc468da5a9c589f285">
  <xsd:schema xmlns:xsd="http://www.w3.org/2001/XMLSchema" xmlns:xs="http://www.w3.org/2001/XMLSchema" xmlns:p="http://schemas.microsoft.com/office/2006/metadata/properties" xmlns:ns2="199ecbc3-0168-44f0-a28d-7982938d4cff" xmlns:ns3="414284d3-b81a-477d-be6f-a5da74d7c1d5" targetNamespace="http://schemas.microsoft.com/office/2006/metadata/properties" ma:root="true" ma:fieldsID="db54b57585451012bb5f040698ffac5a" ns2:_="" ns3:_="">
    <xsd:import namespace="199ecbc3-0168-44f0-a28d-7982938d4cff"/>
    <xsd:import namespace="414284d3-b81a-477d-be6f-a5da74d7c1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Opportunity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ecbc3-0168-44f0-a28d-7982938d4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f67281-f08c-41a0-8abc-c7c0b88472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OpportunityName" ma:index="19" nillable="true" ma:displayName="Opportunity Name" ma:format="Dropdown" ma:internalName="Opportunity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4284d3-b81a-477d-be6f-a5da74d7c1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bbe471-2e04-493e-8f60-db5f5804d588}" ma:internalName="TaxCatchAll" ma:showField="CatchAllData" ma:web="414284d3-b81a-477d-be6f-a5da74d7c1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9ecbc3-0168-44f0-a28d-7982938d4cff">
      <Terms xmlns="http://schemas.microsoft.com/office/infopath/2007/PartnerControls"/>
    </lcf76f155ced4ddcb4097134ff3c332f>
    <TaxCatchAll xmlns="414284d3-b81a-477d-be6f-a5da74d7c1d5" xsi:nil="true"/>
    <OpportunityName xmlns="199ecbc3-0168-44f0-a28d-7982938d4cff" xsi:nil="true"/>
  </documentManagement>
</p:properties>
</file>

<file path=customXml/itemProps1.xml><?xml version="1.0" encoding="utf-8"?>
<ds:datastoreItem xmlns:ds="http://schemas.openxmlformats.org/officeDocument/2006/customXml" ds:itemID="{F42E5537-02A3-43A5-B3E4-E87C45CBB589}">
  <ds:schemaRefs>
    <ds:schemaRef ds:uri="http://schemas.microsoft.com/sharepoint/v3/contenttype/forms"/>
  </ds:schemaRefs>
</ds:datastoreItem>
</file>

<file path=customXml/itemProps2.xml><?xml version="1.0" encoding="utf-8"?>
<ds:datastoreItem xmlns:ds="http://schemas.openxmlformats.org/officeDocument/2006/customXml" ds:itemID="{E93BF019-5F37-4050-8CD3-E53310261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ecbc3-0168-44f0-a28d-7982938d4cff"/>
    <ds:schemaRef ds:uri="414284d3-b81a-477d-be6f-a5da74d7c1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656828-1B22-4513-B9D8-C29295DB3FC4}">
  <ds:schemaRefs>
    <ds:schemaRef ds:uri="http://schemas.microsoft.com/office/2006/metadata/properties"/>
    <ds:schemaRef ds:uri="http://schemas.microsoft.com/office/infopath/2007/PartnerControls"/>
    <ds:schemaRef ds:uri="199ecbc3-0168-44f0-a28d-7982938d4cff"/>
    <ds:schemaRef ds:uri="414284d3-b81a-477d-be6f-a5da74d7c1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Cover Letter</vt:lpstr>
      <vt:lpstr>Rev-00</vt:lpstr>
      <vt:lpstr>Clarifications</vt:lpstr>
      <vt:lpstr>Sensor Comparison</vt:lpstr>
      <vt:lpstr>'Cover Letter'!Print_Area</vt:lpstr>
      <vt:lpstr>'Rev-00'!Print_Area</vt:lpstr>
      <vt:lpstr>'Sensor Comparison'!Print_Area</vt:lpstr>
    </vt:vector>
  </TitlesOfParts>
  <Manager/>
  <Company>Meggitt India Private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ruthvik.satish@mod-ae.com</dc:creator>
  <cp:keywords/>
  <dc:description/>
  <cp:lastModifiedBy>Ruthvik Satish</cp:lastModifiedBy>
  <cp:revision/>
  <dcterms:created xsi:type="dcterms:W3CDTF">2008-12-12T10:34:15Z</dcterms:created>
  <dcterms:modified xsi:type="dcterms:W3CDTF">2026-08-14T08:45:20Z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0x0101001B358CDC6B8C1447B1B542AC5F0639D6</vt:lpwstr>
  </property>
  <property fmtid="{D5CDD505-2E9C-101B-9397-08002B2CF9AE}" pid="3" name="MediaServiceImageTags">
    <vt:lpwstr/>
  </property>
</Properties>
</file>