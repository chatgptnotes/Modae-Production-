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showObjects="placeholders" codeName="ThisWorkbook" defaultThemeVersion="124226"/>
  <mc:AlternateContent xmlns:mc="http://schemas.openxmlformats.org/markup-compatibility/2006">
    <mc:Choice Requires="x15">
      <x15ac:absPath xmlns:x15ac="http://schemas.microsoft.com/office/spreadsheetml/2010/11/ac" url="https://modaeindia-my.sharepoint.com/personal/ruthvik_satish_mod-ae_com/Documents/Desktop/Betser Docs for Information Transfer/Further Inputs/Proposals T&amp;Cs &amp; Service Rate Sheet/Big Project Opp/"/>
    </mc:Choice>
  </mc:AlternateContent>
  <xr:revisionPtr revIDLastSave="5218" documentId="8_{5964E7F3-F096-4013-AC07-540C9B65658C}" xr6:coauthVersionLast="47" xr6:coauthVersionMax="47" xr10:uidLastSave="{8EB0E65B-F1A4-437E-B1A1-0BBB95904490}"/>
  <bookViews>
    <workbookView xWindow="-108" yWindow="-108" windowWidth="23256" windowHeight="13896" tabRatio="770" activeTab="3" xr2:uid="{00000000-000D-0000-FFFF-FFFF00000000}"/>
  </bookViews>
  <sheets>
    <sheet name="Cover Letter" sheetId="170" r:id="rId1"/>
    <sheet name="Signal List" sheetId="171" r:id="rId2"/>
    <sheet name="Rack Layout" sheetId="168" r:id="rId3"/>
    <sheet name="Priced BoQ" sheetId="172" r:id="rId4"/>
    <sheet name="Compliance Table" sheetId="163" state="hidden" r:id="rId5"/>
  </sheets>
  <externalReferences>
    <externalReference r:id="rId6"/>
    <externalReference r:id="rId7"/>
    <externalReference r:id="rId8"/>
    <externalReference r:id="rId9"/>
    <externalReference r:id="rId10"/>
    <externalReference r:id="rId11"/>
  </externalReferences>
  <definedNames>
    <definedName name="\A" localSheetId="0">#REF!</definedName>
    <definedName name="\A">#REF!</definedName>
    <definedName name="\P" localSheetId="0">#REF!</definedName>
    <definedName name="\P">#REF!</definedName>
    <definedName name="\Q" localSheetId="0">#REF!</definedName>
    <definedName name="\Q">#REF!</definedName>
    <definedName name="_xlnm._FilterDatabase" localSheetId="4" hidden="1">'Compliance Table'!$B$6:$H$12</definedName>
    <definedName name="_xlnm._FilterDatabase" localSheetId="3" hidden="1">'Priced BoQ'!$B$9:$K$9</definedName>
    <definedName name="_xlnm._FilterDatabase" localSheetId="1" hidden="1">'Signal List'!$B$7:$G$23</definedName>
    <definedName name="_FIN2" localSheetId="0">#REF!</definedName>
    <definedName name="_FIN2">#REF!</definedName>
    <definedName name="_Order1" hidden="1">255</definedName>
    <definedName name="_Order2" hidden="1">255</definedName>
    <definedName name="_REP01" localSheetId="0">#REF!</definedName>
    <definedName name="_REP01">#REF!</definedName>
    <definedName name="_REP02" localSheetId="0">#REF!</definedName>
    <definedName name="_REP02">#REF!</definedName>
    <definedName name="_REP03">#REF!</definedName>
    <definedName name="_REP04">#REF!</definedName>
    <definedName name="a" localSheetId="4" hidden="1">{#N/A,#N/A,FALSE,"BIDS";#N/A,#N/A,FALSE,"GEN"}</definedName>
    <definedName name="a" localSheetId="0" hidden="1">{#N/A,#N/A,FALSE,"BIDS";#N/A,#N/A,FALSE,"GEN"}</definedName>
    <definedName name="a" localSheetId="2" hidden="1">{#N/A,#N/A,FALSE,"BIDS";#N/A,#N/A,FALSE,"GEN"}</definedName>
    <definedName name="a" localSheetId="1" hidden="1">{#N/A,#N/A,FALSE,"BIDS";#N/A,#N/A,FALSE,"GEN"}</definedName>
    <definedName name="a" hidden="1">{#N/A,#N/A,FALSE,"BIDS";#N/A,#N/A,FALSE,"GEN"}</definedName>
    <definedName name="AI_HART">#REF!</definedName>
    <definedName name="AXIAL">#REF!</definedName>
    <definedName name="b" localSheetId="4">[1]PL!#REF!</definedName>
    <definedName name="b" localSheetId="0">[1]PL!#REF!</definedName>
    <definedName name="b" localSheetId="2">#REF!</definedName>
    <definedName name="b" localSheetId="1">#REF!</definedName>
    <definedName name="b">#REF!</definedName>
    <definedName name="BASECONTRA" localSheetId="0">#REF!</definedName>
    <definedName name="BASECONTRA">#REF!</definedName>
    <definedName name="BORDER2" localSheetId="0">#REF!</definedName>
    <definedName name="BORDER2">#REF!</definedName>
    <definedName name="BORDER3" localSheetId="0">#REF!</definedName>
    <definedName name="BORDER3">#REF!</definedName>
    <definedName name="CANAL_CASC._C.C">#REF!</definedName>
    <definedName name="CANAL_CASC._F.L">#REF!</definedName>
    <definedName name="CHANGE">#REF!</definedName>
    <definedName name="CLIENT" localSheetId="4">[2]Titles!$A$20</definedName>
    <definedName name="CLIENT" localSheetId="0">[2]Titles!$A$20</definedName>
    <definedName name="CLIENT">#REF!</definedName>
    <definedName name="CM" localSheetId="0">#REF!</definedName>
    <definedName name="CM" localSheetId="1">#REF!</definedName>
    <definedName name="CM">#REF!</definedName>
    <definedName name="Code_Unit_02" localSheetId="0">#REF!</definedName>
    <definedName name="Code_Unit_02">#REF!</definedName>
    <definedName name="Code_Unit_03">#REF!</definedName>
    <definedName name="Code_Unit_04">#REF!</definedName>
    <definedName name="Code_Unit_05">#REF!</definedName>
    <definedName name="Code_Unit_06">#REF!</definedName>
    <definedName name="Code_Unit_07">#REF!</definedName>
    <definedName name="Code_Unit_08">#REF!</definedName>
    <definedName name="Code_Unit_09">#REF!</definedName>
    <definedName name="Code_Unit_10">#REF!</definedName>
    <definedName name="Code_Unit_11">#REF!</definedName>
    <definedName name="Code_Unit_12">#REF!</definedName>
    <definedName name="Code_Unit_13">#REF!</definedName>
    <definedName name="Code_Unit_14">#REF!</definedName>
    <definedName name="Coefficient_Breakeven" localSheetId="0">#REF!</definedName>
    <definedName name="Coefficient_Breakeven" localSheetId="1">#REF!</definedName>
    <definedName name="Coefficient_Breakeven">#REF!</definedName>
    <definedName name="COPIE">#REF!</definedName>
    <definedName name="COPIE2">#REF!</definedName>
    <definedName name="cvu" localSheetId="4">[2]Titles!$A$34</definedName>
    <definedName name="cvu" localSheetId="0">[2]Titles!$A$34</definedName>
    <definedName name="cvu">#REF!</definedName>
    <definedName name="d" localSheetId="4">[1]PL!#REF!</definedName>
    <definedName name="d" localSheetId="0">[1]PL!#REF!</definedName>
    <definedName name="d" localSheetId="2">#REF!</definedName>
    <definedName name="d" localSheetId="1">#REF!</definedName>
    <definedName name="d">#REF!</definedName>
    <definedName name="_xlnm.Database" localSheetId="0">#REF!</definedName>
    <definedName name="_xlnm.Database">#REF!</definedName>
    <definedName name="DAVID" localSheetId="0">#REF!</definedName>
    <definedName name="DAVID">#REF!</definedName>
    <definedName name="DEL_TERMS" localSheetId="0">#REF!</definedName>
    <definedName name="DEL_TERMS">#REF!</definedName>
    <definedName name="DicountVM" localSheetId="0">#REF!</definedName>
    <definedName name="DicountVM" localSheetId="1">#REF!</definedName>
    <definedName name="DicountVM">#REF!</definedName>
    <definedName name="Discount" localSheetId="0">#REF!</definedName>
    <definedName name="Discount" localSheetId="1">#REF!</definedName>
    <definedName name="Discount">#REF!</definedName>
    <definedName name="DO">#REF!</definedName>
    <definedName name="DOC_NO" localSheetId="4">[2]Titles!$A$22</definedName>
    <definedName name="DOC_NO" localSheetId="0">[2]Titles!$A$22</definedName>
    <definedName name="DOC_NO">#REF!</definedName>
    <definedName name="e" localSheetId="4">[1]PL!#REF!</definedName>
    <definedName name="e" localSheetId="0">[1]PL!#REF!</definedName>
    <definedName name="e" localSheetId="2">#REF!</definedName>
    <definedName name="e" localSheetId="1">#REF!</definedName>
    <definedName name="e">#REF!</definedName>
    <definedName name="EDIFICIO_10" localSheetId="0">#REF!</definedName>
    <definedName name="EDIFICIO_10">#REF!</definedName>
    <definedName name="EDIFICIO_11" localSheetId="0">#REF!</definedName>
    <definedName name="EDIFICIO_11">#REF!</definedName>
    <definedName name="EDIFICIO_15" localSheetId="0">#REF!</definedName>
    <definedName name="EDIFICIO_15">#REF!</definedName>
    <definedName name="EDIFICIO_16">#REF!</definedName>
    <definedName name="EDIFICIO_18">#REF!</definedName>
    <definedName name="EDIFICIO_20">#REF!</definedName>
    <definedName name="EDIFICIO_30">#REF!</definedName>
    <definedName name="EMPRESA_1">#REF!</definedName>
    <definedName name="EMPRESA_2">#REF!</definedName>
    <definedName name="EMPRESA_3">#REF!</definedName>
    <definedName name="EMPRESA_4">#REF!</definedName>
    <definedName name="EMPRESA_5">#REF!</definedName>
    <definedName name="Erect_Unit_02">#REF!</definedName>
    <definedName name="Erect_Unit_03">#REF!</definedName>
    <definedName name="Erect_Unit_04">#REF!</definedName>
    <definedName name="Erect_Unit_05">#REF!</definedName>
    <definedName name="Erect_Unit_06">#REF!</definedName>
    <definedName name="Erect_Unit_07">#REF!</definedName>
    <definedName name="Erect_Unit_08">#REF!</definedName>
    <definedName name="Erect_Unit_09">#REF!</definedName>
    <definedName name="Erect_Unit_10">#REF!</definedName>
    <definedName name="Erect_Unit_11">#REF!</definedName>
    <definedName name="Erect_Unit_12">#REF!</definedName>
    <definedName name="Erect_Unit_13">#REF!</definedName>
    <definedName name="Erect_Unit_14">#REF!</definedName>
    <definedName name="Eur">#REF!</definedName>
    <definedName name="Euro">#REF!</definedName>
    <definedName name="EURO_Rate" localSheetId="0">#REF!</definedName>
    <definedName name="EURO_Rate" localSheetId="1">#REF!</definedName>
    <definedName name="EURO_Rate">#REF!</definedName>
    <definedName name="Euro_Rate_1">#REF!</definedName>
    <definedName name="Euro_Rate1_CHF" localSheetId="0">#REF!</definedName>
    <definedName name="Euro_Rate1_CHF" localSheetId="1">#REF!</definedName>
    <definedName name="Euro_Rate1_CHF">#REF!</definedName>
    <definedName name="Euro_Rate1_USD" localSheetId="0">#REF!</definedName>
    <definedName name="Euro_Rate1_USD" localSheetId="1">#REF!</definedName>
    <definedName name="Euro_Rate1_USD">#REF!</definedName>
    <definedName name="EURO_Rate2" localSheetId="0">#REF!</definedName>
    <definedName name="EURO_Rate2" localSheetId="1">#REF!</definedName>
    <definedName name="EURO_Rate2">#REF!</definedName>
    <definedName name="Euro_Rate2_CHF" localSheetId="0">#REF!</definedName>
    <definedName name="Euro_Rate2_CHF" localSheetId="1">#REF!</definedName>
    <definedName name="Euro_Rate2_CHF">#REF!</definedName>
    <definedName name="Euro_Rate2_USD" localSheetId="0">#REF!</definedName>
    <definedName name="Euro_Rate2_USD" localSheetId="1">#REF!</definedName>
    <definedName name="Euro_Rate2_USD">#REF!</definedName>
    <definedName name="EURO_Rate3" localSheetId="0">#REF!</definedName>
    <definedName name="EURO_Rate3" localSheetId="1">#REF!</definedName>
    <definedName name="EURO_Rate3">#REF!</definedName>
    <definedName name="Euro_Rate3_CHF" localSheetId="0">#REF!</definedName>
    <definedName name="Euro_Rate3_CHF" localSheetId="1">#REF!</definedName>
    <definedName name="Euro_Rate3_CHF">#REF!</definedName>
    <definedName name="FIN">#REF!</definedName>
    <definedName name="FLOW" localSheetId="1">#REF!</definedName>
    <definedName name="FLOW">#REF!</definedName>
    <definedName name="ga">#REF!</definedName>
    <definedName name="Gas" localSheetId="0">#REF!</definedName>
    <definedName name="Gas" localSheetId="1">#REF!</definedName>
    <definedName name="Gas">#REF!</definedName>
    <definedName name="gass">#REF!</definedName>
    <definedName name="GE_Monthly_Rate" localSheetId="4">'[3]Customer Information'!$K$11</definedName>
    <definedName name="GE_Monthly_Rate" localSheetId="0">'[3]Customer Information'!$K$11</definedName>
    <definedName name="GE_Monthly_Rate" localSheetId="2">#REF!</definedName>
    <definedName name="GE_Monthly_Rate" localSheetId="1">#REF!</definedName>
    <definedName name="GE_Monthly_Rate">#REF!</definedName>
    <definedName name="Generator" localSheetId="0">#REF!</definedName>
    <definedName name="Generator" localSheetId="1">#REF!</definedName>
    <definedName name="Generator">#REF!</definedName>
    <definedName name="h" localSheetId="4">[1]PL!#REF!</definedName>
    <definedName name="h" localSheetId="0">[1]PL!#REF!</definedName>
    <definedName name="h">#REF!</definedName>
    <definedName name="HORNO_TUNEL" localSheetId="0">#REF!</definedName>
    <definedName name="HORNO_TUNEL">#REF!</definedName>
    <definedName name="HTML_CodePage" hidden="1">1252</definedName>
    <definedName name="HTML_Control" localSheetId="4" hidden="1">{"'Foglio1'!$A$14:$Q$133","'Foglio1'!$A$1:$BI$150"}</definedName>
    <definedName name="HTML_Control" localSheetId="0" hidden="1">{"'Foglio1'!$A$14:$Q$133","'Foglio1'!$A$1:$BI$150"}</definedName>
    <definedName name="HTML_Control" localSheetId="2" hidden="1">{"'Foglio1'!$A$14:$Q$133","'Foglio1'!$A$1:$BI$150"}</definedName>
    <definedName name="HTML_Control" localSheetId="1" hidden="1">{"'Foglio1'!$A$14:$Q$133","'Foglio1'!$A$1:$BI$150"}</definedName>
    <definedName name="HTML_Control" hidden="1">{"'Foglio1'!$A$14:$Q$133","'Foglio1'!$A$1:$BI$150"}</definedName>
    <definedName name="HTML_Description" hidden="1">""</definedName>
    <definedName name="HTML_Email" hidden="1">""</definedName>
    <definedName name="HTML_Header" hidden="1">"Foglio1"</definedName>
    <definedName name="HTML_LastUpdate" hidden="1">"15/02/02"</definedName>
    <definedName name="HTML_LineAfter" hidden="1">TRUE</definedName>
    <definedName name="HTML_LineBefore" hidden="1">TRUE</definedName>
    <definedName name="HTML_Name" hidden="1">"..."</definedName>
    <definedName name="HTML_OBDlg2" hidden="1">TRUE</definedName>
    <definedName name="HTML_OBDlg4" hidden="1">TRUE</definedName>
    <definedName name="HTML_OS" hidden="1">0</definedName>
    <definedName name="HTML_PathFile" hidden="1">"C:\WINDOWS\Desktop\MioHTML.htm"</definedName>
    <definedName name="HTML_Title" hidden="1">"D"</definedName>
    <definedName name="INDEX" localSheetId="1">#REF!</definedName>
    <definedName name="INDEX">#REF!</definedName>
    <definedName name="J">#REF!</definedName>
    <definedName name="K">#REF!</definedName>
    <definedName name="KPH">#REF!</definedName>
    <definedName name="LEVE" localSheetId="1">#REF!</definedName>
    <definedName name="LEVE">#REF!</definedName>
    <definedName name="luInnerSealType" localSheetId="4">[4]Units!$A$1028:$A$2572</definedName>
    <definedName name="luInnerSealType" localSheetId="0">[4]Units!$A$1028:$A$2572</definedName>
    <definedName name="luInnerSealType">#REF!</definedName>
    <definedName name="luPipingPlans" localSheetId="4">[4]Units!$A$87:$A$269</definedName>
    <definedName name="luPipingPlans" localSheetId="0">[4]Units!$A$87:$A$269</definedName>
    <definedName name="luPipingPlans">#REF!</definedName>
    <definedName name="luSealAPICode" localSheetId="4">[4]Units!$A$271:$A$1026</definedName>
    <definedName name="luSealAPICode" localSheetId="0">[4]Units!$A$271:$A$1026</definedName>
    <definedName name="luSealAPICode">#REF!</definedName>
    <definedName name="MISC" localSheetId="0">#REF!</definedName>
    <definedName name="MISC" localSheetId="1">#REF!</definedName>
    <definedName name="MISC">#REF!</definedName>
    <definedName name="mod" localSheetId="4">[2]Titles!$A$24</definedName>
    <definedName name="mod" localSheetId="0">[2]Titles!$A$24</definedName>
    <definedName name="mod">#REF!</definedName>
    <definedName name="MORTERO_PILAR" localSheetId="0">#REF!</definedName>
    <definedName name="MORTERO_PILAR">#REF!</definedName>
    <definedName name="O" localSheetId="0">#REF!</definedName>
    <definedName name="O">#REF!</definedName>
    <definedName name="OFERTANTES" localSheetId="0">#REF!</definedName>
    <definedName name="OFERTANTES">#REF!</definedName>
    <definedName name="p">#REF!</definedName>
    <definedName name="P.TOTAL">#REF!</definedName>
    <definedName name="PAGE">#REF!</definedName>
    <definedName name="PAGENB">#REF!</definedName>
    <definedName name="PAVIMENTOS">#REF!</definedName>
    <definedName name="PLANT" localSheetId="4">[2]Titles!$A$19</definedName>
    <definedName name="PLANT" localSheetId="0">[2]Titles!$A$19</definedName>
    <definedName name="PLANT">#REF!</definedName>
    <definedName name="PRES" localSheetId="0">#REF!</definedName>
    <definedName name="PRES" localSheetId="1">#REF!</definedName>
    <definedName name="PRES">#REF!</definedName>
    <definedName name="Price_Unit_02" localSheetId="0">#REF!</definedName>
    <definedName name="Price_Unit_02">#REF!</definedName>
    <definedName name="Price_Unit_03" localSheetId="0">#REF!</definedName>
    <definedName name="Price_Unit_03">#REF!</definedName>
    <definedName name="Price_Unit_04">#REF!</definedName>
    <definedName name="Price_Unit_05">#REF!</definedName>
    <definedName name="Price_Unit_06">#REF!</definedName>
    <definedName name="Price_Unit_07">#REF!</definedName>
    <definedName name="Price_Unit_08">#REF!</definedName>
    <definedName name="Price_Unit_09">#REF!</definedName>
    <definedName name="Price_Unit_10">#REF!</definedName>
    <definedName name="Price_Unit_11">#REF!</definedName>
    <definedName name="Price_Unit_12">#REF!</definedName>
    <definedName name="Price_Unit_13">#REF!</definedName>
    <definedName name="Price_Unit_14">#REF!</definedName>
    <definedName name="_xlnm.Print_Area" localSheetId="4">'Compliance Table'!$A$1:$I$13</definedName>
    <definedName name="_xlnm.Print_Area" localSheetId="0">'Cover Letter'!$A$1:$R$26</definedName>
    <definedName name="_xlnm.Print_Area" localSheetId="3">'Priced BoQ'!$A$1:$L$59</definedName>
    <definedName name="_xlnm.Print_Area" localSheetId="2">'Rack Layout'!$A$1:$R$22</definedName>
    <definedName name="_xlnm.Print_Area" localSheetId="1">'Signal List'!$A$1:$H$24</definedName>
    <definedName name="_xlnm.Print_Titles" localSheetId="4">'Compliance Table'!$1:$6</definedName>
    <definedName name="_xlnm.Print_Titles" localSheetId="3">'Priced BoQ'!$1:$6</definedName>
    <definedName name="_xlnm.Print_Titles" localSheetId="2">'Rack Layout'!$1:$6</definedName>
    <definedName name="_xlnm.Print_Titles" localSheetId="1">'Signal List'!$1:$7</definedName>
    <definedName name="PRINT1" localSheetId="0">#REF!</definedName>
    <definedName name="PRINT1">#REF!</definedName>
    <definedName name="PRINT2" localSheetId="0">#REF!</definedName>
    <definedName name="PRINT2">#REF!</definedName>
    <definedName name="PRINT3" localSheetId="0">#REF!</definedName>
    <definedName name="PRINT3">#REF!</definedName>
    <definedName name="PRINT4">#REF!</definedName>
    <definedName name="PROJECT" localSheetId="4">[2]Titles!$A$21</definedName>
    <definedName name="PROJECT" localSheetId="0">[2]Titles!$A$21</definedName>
    <definedName name="PROJECT">#REF!</definedName>
    <definedName name="pu" localSheetId="4">[2]Titles!$A$28</definedName>
    <definedName name="pu" localSheetId="0">[2]Titles!$A$28</definedName>
    <definedName name="pu">#REF!</definedName>
    <definedName name="PURCH_GROUP_DESC" localSheetId="0">#REF!</definedName>
    <definedName name="PURCH_GROUP_DESC">#REF!</definedName>
    <definedName name="PURCH_PART" localSheetId="0">#REF!</definedName>
    <definedName name="PURCH_PART">#REF!</definedName>
    <definedName name="PURCH_PARTS" localSheetId="0">#REF!</definedName>
    <definedName name="PURCH_PARTS">#REF!</definedName>
    <definedName name="PURCHASE_GROUP">#REF!</definedName>
    <definedName name="PURCHASE_GROUPS">#REF!</definedName>
    <definedName name="PURCHASE_PART">#REF!</definedName>
    <definedName name="PURCHASE_PARTS">#REF!</definedName>
    <definedName name="Qty_Unit_02">#REF!</definedName>
    <definedName name="Qty_Unit_03">#REF!</definedName>
    <definedName name="Qty_Unit_04">#REF!</definedName>
    <definedName name="Qty_Unit_05">#REF!</definedName>
    <definedName name="Qty_Unit_06">#REF!</definedName>
    <definedName name="Qty_Unit_07">#REF!</definedName>
    <definedName name="Qty_Unit_08">#REF!</definedName>
    <definedName name="Qty_Unit_09">#REF!</definedName>
    <definedName name="Qty_Unit_10">#REF!</definedName>
    <definedName name="Qty_Unit_11">#REF!</definedName>
    <definedName name="Qty_Unit_12">#REF!</definedName>
    <definedName name="Qty_Unit_13">#REF!</definedName>
    <definedName name="Qty_Unit_14">#REF!</definedName>
    <definedName name="RADIAL">#REF!</definedName>
    <definedName name="RANGE01">#REF!</definedName>
    <definedName name="RANGE02">#REF!</definedName>
    <definedName name="RANGE03">#REF!</definedName>
    <definedName name="RESUMEN">#REF!</definedName>
    <definedName name="REV" localSheetId="4">[2]FRONTE!$AE$56</definedName>
    <definedName name="REV" localSheetId="0">[2]FRONTE!$AE$56</definedName>
    <definedName name="REV">#REF!</definedName>
    <definedName name="ROD_DROP" localSheetId="0">#REF!</definedName>
    <definedName name="ROD_DROP">#REF!</definedName>
    <definedName name="RTD" localSheetId="0">#REF!</definedName>
    <definedName name="RTD">#REF!</definedName>
    <definedName name="s" localSheetId="4">[1]PL!#REF!</definedName>
    <definedName name="s" localSheetId="0">[1]PL!#REF!</definedName>
    <definedName name="s" localSheetId="2">#REF!</definedName>
    <definedName name="s" localSheetId="1">#REF!</definedName>
    <definedName name="s">#REF!</definedName>
    <definedName name="SEISMIC" localSheetId="0">#REF!</definedName>
    <definedName name="SEISMIC">#REF!</definedName>
    <definedName name="SHEET" localSheetId="4">[2]Titles!$A$23</definedName>
    <definedName name="SHEET" localSheetId="0">[2]Titles!$A$23</definedName>
    <definedName name="SHEET">#REF!</definedName>
    <definedName name="Steam" localSheetId="0">#REF!</definedName>
    <definedName name="Steam" localSheetId="1">#REF!</definedName>
    <definedName name="Steam">#REF!</definedName>
    <definedName name="Summary" localSheetId="4">[1]PL!#REF!</definedName>
    <definedName name="Summary" localSheetId="0">[1]PL!#REF!</definedName>
    <definedName name="Summary">#REF!</definedName>
    <definedName name="SYSTEM" localSheetId="0">#REF!</definedName>
    <definedName name="SYSTEM">#REF!</definedName>
    <definedName name="t" localSheetId="4">[1]PL!#REF!</definedName>
    <definedName name="t" localSheetId="0">[1]PL!#REF!</definedName>
    <definedName name="t" localSheetId="2">#REF!</definedName>
    <definedName name="t" localSheetId="1">#REF!</definedName>
    <definedName name="t">#REF!</definedName>
    <definedName name="T._CILINDROS" localSheetId="0">#REF!</definedName>
    <definedName name="T._CILINDROS">#REF!</definedName>
    <definedName name="tab" localSheetId="0">#REF!</definedName>
    <definedName name="tab">#REF!</definedName>
    <definedName name="table1" localSheetId="0">#REF!</definedName>
    <definedName name="table1">#REF!</definedName>
    <definedName name="table2">#REF!</definedName>
    <definedName name="table3">#REF!</definedName>
    <definedName name="table4">#REF!</definedName>
    <definedName name="test">#REF!</definedName>
    <definedName name="test1">#REF!</definedName>
    <definedName name="test3" localSheetId="4">[5]UoM!$A$2:$A$8</definedName>
    <definedName name="test3" localSheetId="0">[5]UoM!$A$2:$A$8</definedName>
    <definedName name="test3">#REF!</definedName>
    <definedName name="tra" localSheetId="4">[6]PL!#REF!</definedName>
    <definedName name="tra" localSheetId="0">[6]PL!#REF!</definedName>
    <definedName name="tra">#REF!</definedName>
    <definedName name="Trans" localSheetId="0">#REF!</definedName>
    <definedName name="Trans">#REF!</definedName>
    <definedName name="Trans_101283_AATable" localSheetId="4">[1]PL!#REF!</definedName>
    <definedName name="Trans_101283_AATable" localSheetId="0">[1]PL!#REF!</definedName>
    <definedName name="Trans_101283_AATable" localSheetId="2">#REF!</definedName>
    <definedName name="Trans_101283_AATable" localSheetId="1">#REF!</definedName>
    <definedName name="Trans_101283_AATable">#REF!</definedName>
    <definedName name="Trans_134577_AATable" localSheetId="4">[1]PL!#REF!</definedName>
    <definedName name="Trans_134577_AATable" localSheetId="0">[1]PL!#REF!</definedName>
    <definedName name="Trans_134577_AATable" localSheetId="2">#REF!</definedName>
    <definedName name="Trans_134577_AATable" localSheetId="1">#REF!</definedName>
    <definedName name="Trans_134577_AATable">#REF!</definedName>
    <definedName name="Trans_134835_AATable" localSheetId="4">[1]PL!#REF!</definedName>
    <definedName name="Trans_134835_AATable" localSheetId="0">[1]PL!#REF!</definedName>
    <definedName name="Trans_134835_AATable" localSheetId="2">#REF!</definedName>
    <definedName name="Trans_134835_AATable" localSheetId="1">#REF!</definedName>
    <definedName name="Trans_134835_AATable">#REF!</definedName>
    <definedName name="Trans_136540_AATable" localSheetId="4">[1]PL!#REF!</definedName>
    <definedName name="Trans_136540_AATable" localSheetId="0">[1]PL!#REF!</definedName>
    <definedName name="Trans_136540_AATable" localSheetId="2">#REF!</definedName>
    <definedName name="Trans_136540_AATable" localSheetId="1">#REF!</definedName>
    <definedName name="Trans_136540_AATable">#REF!</definedName>
    <definedName name="Trans_137936_AATable" localSheetId="4">[1]PL!#REF!</definedName>
    <definedName name="Trans_137936_AATable" localSheetId="0">[1]PL!#REF!</definedName>
    <definedName name="Trans_137936_AATable" localSheetId="2">#REF!</definedName>
    <definedName name="Trans_137936_AATable" localSheetId="1">#REF!</definedName>
    <definedName name="Trans_137936_AATable">#REF!</definedName>
    <definedName name="Trans_137937_AATable" localSheetId="4">[1]PL!#REF!</definedName>
    <definedName name="Trans_137937_AATable" localSheetId="0">[1]PL!#REF!</definedName>
    <definedName name="Trans_137937_AATable" localSheetId="2">#REF!</definedName>
    <definedName name="Trans_137937_AATable" localSheetId="1">#REF!</definedName>
    <definedName name="Trans_137937_AATable">#REF!</definedName>
    <definedName name="Trans_138724_AATable" localSheetId="4">[1]PL!#REF!</definedName>
    <definedName name="Trans_138724_AATable" localSheetId="0">[1]PL!#REF!</definedName>
    <definedName name="Trans_138724_AATable" localSheetId="2">#REF!</definedName>
    <definedName name="Trans_138724_AATable" localSheetId="1">#REF!</definedName>
    <definedName name="Trans_138724_AATable">#REF!</definedName>
    <definedName name="Trans_138730_AATable" localSheetId="4">[1]PL!#REF!</definedName>
    <definedName name="Trans_138730_AATable" localSheetId="0">[1]PL!#REF!</definedName>
    <definedName name="Trans_138730_AATable" localSheetId="2">#REF!</definedName>
    <definedName name="Trans_138730_AATable" localSheetId="1">#REF!</definedName>
    <definedName name="Trans_138730_AATable">#REF!</definedName>
    <definedName name="Trans_138751_AATable" localSheetId="4">[1]PL!#REF!</definedName>
    <definedName name="Trans_138751_AATable" localSheetId="0">[1]PL!#REF!</definedName>
    <definedName name="Trans_138751_AATable" localSheetId="2">#REF!</definedName>
    <definedName name="Trans_138751_AATable" localSheetId="1">#REF!</definedName>
    <definedName name="Trans_138751_AATable">#REF!</definedName>
    <definedName name="Trans_147922_AATable" localSheetId="4">[1]PL!#REF!</definedName>
    <definedName name="Trans_147922_AATable" localSheetId="0">[1]PL!#REF!</definedName>
    <definedName name="Trans_147922_AATable" localSheetId="2">#REF!</definedName>
    <definedName name="Trans_147922_AATable" localSheetId="1">#REF!</definedName>
    <definedName name="Trans_147922_AATable">#REF!</definedName>
    <definedName name="Trans_148731_AATable" localSheetId="4">[1]PL!#REF!</definedName>
    <definedName name="Trans_148731_AATable" localSheetId="0">[1]PL!#REF!</definedName>
    <definedName name="Trans_148731_AATable" localSheetId="2">#REF!</definedName>
    <definedName name="Trans_148731_AATable" localSheetId="1">#REF!</definedName>
    <definedName name="Trans_148731_AATable">#REF!</definedName>
    <definedName name="Trans_148732_AATable" localSheetId="4">[1]PL!#REF!</definedName>
    <definedName name="Trans_148732_AATable" localSheetId="0">[1]PL!#REF!</definedName>
    <definedName name="Trans_148732_AATable" localSheetId="2">#REF!</definedName>
    <definedName name="Trans_148732_AATable" localSheetId="1">#REF!</definedName>
    <definedName name="Trans_148732_AATable">#REF!</definedName>
    <definedName name="Trans_161961_AATable" localSheetId="4">[1]PL!#REF!</definedName>
    <definedName name="Trans_161961_AATable" localSheetId="0">[1]PL!#REF!</definedName>
    <definedName name="Trans_161961_AATable" localSheetId="2">#REF!</definedName>
    <definedName name="Trans_161961_AATable" localSheetId="1">#REF!</definedName>
    <definedName name="Trans_161961_AATable">#REF!</definedName>
    <definedName name="Trans_163176_AATable" localSheetId="4">[1]PL!#REF!</definedName>
    <definedName name="Trans_163176_AATable" localSheetId="0">[1]PL!#REF!</definedName>
    <definedName name="Trans_163176_AATable" localSheetId="2">#REF!</definedName>
    <definedName name="Trans_163176_AATable" localSheetId="1">#REF!</definedName>
    <definedName name="Trans_163176_AATable">#REF!</definedName>
    <definedName name="Trans_164327_AATable" localSheetId="4">[1]PL!#REF!</definedName>
    <definedName name="Trans_164327_AATable" localSheetId="0">[1]PL!#REF!</definedName>
    <definedName name="Trans_164327_AATable" localSheetId="2">#REF!</definedName>
    <definedName name="Trans_164327_AATable" localSheetId="1">#REF!</definedName>
    <definedName name="Trans_164327_AATable">#REF!</definedName>
    <definedName name="Trans_164466_AATable" localSheetId="4">[1]PL!#REF!</definedName>
    <definedName name="Trans_164466_AATable" localSheetId="0">[1]PL!#REF!</definedName>
    <definedName name="Trans_164466_AATable" localSheetId="2">#REF!</definedName>
    <definedName name="Trans_164466_AATable" localSheetId="1">#REF!</definedName>
    <definedName name="Trans_164466_AATable">#REF!</definedName>
    <definedName name="Trans_330152_AATable" localSheetId="4">[1]PL!#REF!</definedName>
    <definedName name="Trans_330152_AATable" localSheetId="0">[1]PL!#REF!</definedName>
    <definedName name="Trans_330152_AATable" localSheetId="2">#REF!</definedName>
    <definedName name="Trans_330152_AATable" localSheetId="1">#REF!</definedName>
    <definedName name="Trans_330152_AATable">#REF!</definedName>
    <definedName name="Trans_330900_AATable" localSheetId="4">[1]PL!#REF!</definedName>
    <definedName name="Trans_330900_AATable" localSheetId="0">[1]PL!#REF!</definedName>
    <definedName name="Trans_330900_AATable" localSheetId="2">#REF!</definedName>
    <definedName name="Trans_330900_AATable" localSheetId="1">#REF!</definedName>
    <definedName name="Trans_330900_AATable">#REF!</definedName>
    <definedName name="tu" localSheetId="4">[2]Titles!$A$27</definedName>
    <definedName name="tu" localSheetId="0">[2]Titles!$A$27</definedName>
    <definedName name="tu">#REF!</definedName>
    <definedName name="U010_IO" localSheetId="0">#REF!</definedName>
    <definedName name="U010_IO">#REF!</definedName>
    <definedName name="U011_IO" localSheetId="0">#REF!</definedName>
    <definedName name="U011_IO">#REF!</definedName>
    <definedName name="U012_IO" localSheetId="0">#REF!</definedName>
    <definedName name="U012_IO">#REF!</definedName>
    <definedName name="U017_IO">#REF!</definedName>
    <definedName name="U019_IO">#REF!</definedName>
    <definedName name="U085_IO">#REF!</definedName>
    <definedName name="UNIT">#REF!</definedName>
    <definedName name="UoM">#REF!</definedName>
    <definedName name="us">#REF!</definedName>
    <definedName name="USD_Rate1_CHF" localSheetId="0">#REF!</definedName>
    <definedName name="USD_Rate1_CHF" localSheetId="1">#REF!</definedName>
    <definedName name="USD_Rate1_CHF">#REF!</definedName>
    <definedName name="USD_Rate2_CHF" localSheetId="0">#REF!</definedName>
    <definedName name="USD_Rate2_CHF" localSheetId="1">#REF!</definedName>
    <definedName name="USD_Rate2_CHF">#REF!</definedName>
    <definedName name="usuduhduhdu" localSheetId="0" hidden="1">{#N/A,#N/A,FALSE,"BIDS";#N/A,#N/A,FALSE,"GEN"}</definedName>
    <definedName name="usuduhduhdu" hidden="1">{#N/A,#N/A,FALSE,"BIDS";#N/A,#N/A,FALSE,"GEN"}</definedName>
    <definedName name="V">#REF!</definedName>
    <definedName name="VIGA_RIOSTRA">#REF!</definedName>
    <definedName name="w" localSheetId="4">[1]PL!#REF!</definedName>
    <definedName name="w" localSheetId="0">[1]PL!#REF!</definedName>
    <definedName name="w" localSheetId="2">#REF!</definedName>
    <definedName name="w" localSheetId="1">#REF!</definedName>
    <definedName name="w">#REF!</definedName>
    <definedName name="wrn.PPW." localSheetId="4" hidden="1">{#N/A,#N/A,FALSE,"BIDS";#N/A,#N/A,FALSE,"GEN"}</definedName>
    <definedName name="wrn.PPW." localSheetId="0" hidden="1">{#N/A,#N/A,FALSE,"BIDS";#N/A,#N/A,FALSE,"GEN"}</definedName>
    <definedName name="wrn.PPW." localSheetId="2" hidden="1">{#N/A,#N/A,FALSE,"BIDS";#N/A,#N/A,FALSE,"GEN"}</definedName>
    <definedName name="wrn.PPW." localSheetId="1" hidden="1">{#N/A,#N/A,FALSE,"BIDS";#N/A,#N/A,FALSE,"GEN"}</definedName>
    <definedName name="wrn.PPW." hidden="1">{#N/A,#N/A,FALSE,"BIDS";#N/A,#N/A,FALSE,"GEN"}</definedName>
    <definedName name="x" localSheetId="4" hidden="1">{#N/A,#N/A,FALSE,"BIDS";#N/A,#N/A,FALSE,"GEN"}</definedName>
    <definedName name="x" localSheetId="0" hidden="1">{#N/A,#N/A,FALSE,"BIDS";#N/A,#N/A,FALSE,"GEN"}</definedName>
    <definedName name="x" localSheetId="2" hidden="1">{#N/A,#N/A,FALSE,"BIDS";#N/A,#N/A,FALSE,"GEN"}</definedName>
    <definedName name="x" localSheetId="1" hidden="1">{#N/A,#N/A,FALSE,"BIDS";#N/A,#N/A,FALSE,"GEN"}</definedName>
    <definedName name="x" hidden="1">{#N/A,#N/A,FALSE,"BIDS";#N/A,#N/A,FALSE,"GEN"}</definedName>
    <definedName name="xs" localSheetId="4">[6]PL!#REF!</definedName>
    <definedName name="xs" localSheetId="0">[6]PL!#REF!</definedName>
    <definedName name="xs" localSheetId="1">#REF!</definedName>
    <definedName name="xs">#REF!</definedName>
    <definedName name="y" localSheetId="4">[1]PL!#REF!</definedName>
    <definedName name="y" localSheetId="0">[1]PL!#REF!</definedName>
    <definedName name="y" localSheetId="2">#REF!</definedName>
    <definedName name="y" localSheetId="1">#REF!</definedName>
    <definedName name="y">#REF!</definedName>
    <definedName name="ZONA_10" localSheetId="0">#REF!</definedName>
    <definedName name="ZONA_10">#REF!</definedName>
    <definedName name="ZONA_2" localSheetId="0">#REF!</definedName>
    <definedName name="ZONA_2">#REF!</definedName>
    <definedName name="ZONA_3" localSheetId="0">#REF!</definedName>
    <definedName name="ZONA_3">#REF!</definedName>
    <definedName name="ZONA_4">#REF!</definedName>
    <definedName name="ZONA_5">#REF!</definedName>
    <definedName name="ZONA_6">#REF!</definedName>
    <definedName name="ZONA_8">#REF!</definedName>
    <definedName name="ZONA_9">#REF!</definedName>
    <definedName name="zu" localSheetId="4">[2]Titles!$A$32</definedName>
    <definedName name="zu" localSheetId="0">[2]Titles!$A$32</definedName>
    <definedName name="zu">#REF!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8" i="172" l="1"/>
  <c r="N27" i="172"/>
  <c r="N26" i="172"/>
  <c r="N25" i="172"/>
  <c r="N24" i="172"/>
  <c r="N23" i="172"/>
  <c r="N22" i="172"/>
  <c r="N20" i="172"/>
  <c r="N19" i="172"/>
  <c r="N34" i="172"/>
  <c r="N33" i="172"/>
  <c r="J27" i="172" l="1"/>
  <c r="J26" i="172"/>
  <c r="J25" i="172"/>
  <c r="J24" i="172"/>
  <c r="J23" i="172"/>
  <c r="J22" i="172"/>
  <c r="J20" i="172"/>
  <c r="J19" i="172"/>
  <c r="N43" i="172" l="1"/>
  <c r="N41" i="172"/>
  <c r="J41" i="172" s="1"/>
  <c r="I34" i="172"/>
  <c r="C44" i="172"/>
  <c r="I43" i="172"/>
  <c r="N42" i="172"/>
  <c r="J42" i="172" s="1"/>
  <c r="F42" i="172"/>
  <c r="I42" i="172" s="1"/>
  <c r="S42" i="172" s="1"/>
  <c r="F41" i="172"/>
  <c r="I41" i="172" s="1"/>
  <c r="S41" i="172" s="1"/>
  <c r="C35" i="172"/>
  <c r="I33" i="172"/>
  <c r="S33" i="172" s="1"/>
  <c r="C29" i="172"/>
  <c r="J28" i="172"/>
  <c r="I28" i="172"/>
  <c r="I27" i="172"/>
  <c r="I26" i="172"/>
  <c r="G25" i="172"/>
  <c r="I25" i="172" s="1"/>
  <c r="Q25" i="172" s="1"/>
  <c r="I24" i="172"/>
  <c r="I23" i="172"/>
  <c r="Q23" i="172" s="1"/>
  <c r="I21" i="172"/>
  <c r="S21" i="172" s="1"/>
  <c r="I18" i="172"/>
  <c r="I17" i="172"/>
  <c r="F16" i="172"/>
  <c r="I16" i="172" s="1"/>
  <c r="F15" i="172"/>
  <c r="I15" i="172" s="1"/>
  <c r="F14" i="172"/>
  <c r="I14" i="172" s="1"/>
  <c r="I13" i="172"/>
  <c r="F12" i="172"/>
  <c r="I12" i="172" s="1"/>
  <c r="S12" i="172" s="1"/>
  <c r="F11" i="172"/>
  <c r="I11" i="172" s="1"/>
  <c r="F10" i="172"/>
  <c r="F19" i="172" s="1"/>
  <c r="I19" i="172" s="1"/>
  <c r="Q19" i="172" s="1"/>
  <c r="O4" i="172"/>
  <c r="O3" i="172"/>
  <c r="P12" i="172" s="1"/>
  <c r="S26" i="172" l="1"/>
  <c r="Q26" i="172"/>
  <c r="S27" i="172"/>
  <c r="Q27" i="172"/>
  <c r="S28" i="172"/>
  <c r="Q28" i="172"/>
  <c r="N21" i="172"/>
  <c r="Q21" i="172"/>
  <c r="Q24" i="172"/>
  <c r="J21" i="172"/>
  <c r="O34" i="172"/>
  <c r="Q34" i="172"/>
  <c r="Q35" i="172" s="1"/>
  <c r="K34" i="172"/>
  <c r="S34" i="172"/>
  <c r="S35" i="172" s="1"/>
  <c r="K42" i="172"/>
  <c r="O21" i="172"/>
  <c r="K41" i="172"/>
  <c r="K43" i="172"/>
  <c r="O41" i="172"/>
  <c r="O43" i="172"/>
  <c r="O42" i="172"/>
  <c r="O44" i="172" s="1"/>
  <c r="Q42" i="172"/>
  <c r="Q43" i="172"/>
  <c r="S43" i="172"/>
  <c r="S44" i="172" s="1"/>
  <c r="Q41" i="172"/>
  <c r="Q44" i="172" s="1"/>
  <c r="O33" i="172"/>
  <c r="Q33" i="172"/>
  <c r="O6" i="172"/>
  <c r="P11" i="172" s="1"/>
  <c r="K33" i="172"/>
  <c r="O23" i="172"/>
  <c r="K23" i="172"/>
  <c r="O28" i="172"/>
  <c r="K24" i="172"/>
  <c r="K26" i="172"/>
  <c r="O26" i="172"/>
  <c r="S13" i="172"/>
  <c r="O24" i="172"/>
  <c r="K27" i="172"/>
  <c r="S24" i="172"/>
  <c r="O27" i="172"/>
  <c r="S14" i="172"/>
  <c r="S15" i="172"/>
  <c r="O25" i="172"/>
  <c r="S25" i="172"/>
  <c r="K25" i="172"/>
  <c r="S19" i="172"/>
  <c r="S16" i="172"/>
  <c r="S11" i="172"/>
  <c r="K19" i="172"/>
  <c r="O19" i="172"/>
  <c r="S18" i="172"/>
  <c r="S17" i="172"/>
  <c r="S23" i="172"/>
  <c r="F22" i="172"/>
  <c r="I22" i="172" s="1"/>
  <c r="Q22" i="172" s="1"/>
  <c r="I10" i="172"/>
  <c r="K28" i="172"/>
  <c r="F20" i="172"/>
  <c r="I20" i="172" s="1"/>
  <c r="G9" i="171"/>
  <c r="G10" i="171"/>
  <c r="G11" i="171"/>
  <c r="G12" i="171"/>
  <c r="G13" i="171"/>
  <c r="G14" i="171"/>
  <c r="G15" i="171"/>
  <c r="G16" i="171"/>
  <c r="G17" i="171"/>
  <c r="G18" i="171"/>
  <c r="G19" i="171"/>
  <c r="G20" i="171"/>
  <c r="G21" i="171"/>
  <c r="G22" i="171"/>
  <c r="G8" i="171"/>
  <c r="K20" i="172" l="1"/>
  <c r="Q20" i="172"/>
  <c r="N11" i="172"/>
  <c r="J11" i="172" s="1"/>
  <c r="K11" i="172" s="1"/>
  <c r="Q11" i="172"/>
  <c r="N12" i="172"/>
  <c r="O12" i="172" s="1"/>
  <c r="Q12" i="172"/>
  <c r="J12" i="172"/>
  <c r="O35" i="172"/>
  <c r="J35" i="172"/>
  <c r="F35" i="172" s="1"/>
  <c r="J44" i="172"/>
  <c r="F44" i="172" s="1"/>
  <c r="P10" i="172"/>
  <c r="N10" i="172" s="1"/>
  <c r="P17" i="172"/>
  <c r="P14" i="172"/>
  <c r="P15" i="172"/>
  <c r="P13" i="172"/>
  <c r="P16" i="172"/>
  <c r="P18" i="172"/>
  <c r="S22" i="172"/>
  <c r="K21" i="172"/>
  <c r="O22" i="172"/>
  <c r="S20" i="172"/>
  <c r="O20" i="172"/>
  <c r="O11" i="172"/>
  <c r="K22" i="172"/>
  <c r="S10" i="172"/>
  <c r="N18" i="172" l="1"/>
  <c r="J18" i="172" s="1"/>
  <c r="K18" i="172" s="1"/>
  <c r="Q18" i="172"/>
  <c r="N16" i="172"/>
  <c r="J16" i="172" s="1"/>
  <c r="K16" i="172" s="1"/>
  <c r="Q16" i="172"/>
  <c r="N13" i="172"/>
  <c r="J13" i="172" s="1"/>
  <c r="K13" i="172" s="1"/>
  <c r="Q13" i="172"/>
  <c r="N15" i="172"/>
  <c r="O15" i="172" s="1"/>
  <c r="Q15" i="172"/>
  <c r="N14" i="172"/>
  <c r="O14" i="172" s="1"/>
  <c r="Q14" i="172"/>
  <c r="N17" i="172"/>
  <c r="J17" i="172" s="1"/>
  <c r="K17" i="172" s="1"/>
  <c r="Q17" i="172"/>
  <c r="J14" i="172"/>
  <c r="K14" i="172" s="1"/>
  <c r="Q10" i="172"/>
  <c r="J10" i="172"/>
  <c r="K10" i="172" s="1"/>
  <c r="O10" i="172"/>
  <c r="K12" i="172"/>
  <c r="S29" i="172"/>
  <c r="J15" i="172" l="1"/>
  <c r="K15" i="172" s="1"/>
  <c r="J29" i="172" s="1"/>
  <c r="O16" i="172"/>
  <c r="O17" i="172"/>
  <c r="O13" i="172"/>
  <c r="O18" i="172"/>
  <c r="Q29" i="172"/>
  <c r="F29" i="172" l="1"/>
  <c r="O29" i="172"/>
  <c r="K22" i="171"/>
  <c r="L22" i="171" s="1"/>
  <c r="K21" i="171"/>
  <c r="L21" i="171" s="1"/>
  <c r="K20" i="171"/>
  <c r="K19" i="171"/>
  <c r="K18" i="171"/>
  <c r="K17" i="171"/>
  <c r="K16" i="171"/>
  <c r="K15" i="171"/>
  <c r="L15" i="171" s="1"/>
  <c r="K14" i="171"/>
  <c r="K13" i="171"/>
  <c r="K12" i="171"/>
  <c r="K11" i="171"/>
  <c r="K10" i="171"/>
  <c r="K9" i="171"/>
  <c r="K8" i="171"/>
  <c r="L11" i="171" l="1"/>
  <c r="L18" i="171"/>
  <c r="L8" i="171"/>
  <c r="L23" i="171" s="1"/>
  <c r="M23" i="171" s="1"/>
  <c r="P9" i="171" l="1"/>
  <c r="N9" i="171" s="1"/>
  <c r="P8" i="171"/>
  <c r="N8" i="171" s="1"/>
  <c r="P7" i="171"/>
  <c r="N7" i="171" s="1"/>
  <c r="F23" i="171"/>
  <c r="Q8" i="171"/>
  <c r="N10" i="171" l="1"/>
  <c r="G23" i="171"/>
  <c r="U14" i="168" l="1"/>
  <c r="U13" i="168"/>
  <c r="U12" i="168"/>
  <c r="U11" i="168"/>
  <c r="U10" i="168"/>
  <c r="U9" i="168"/>
  <c r="C8" i="168"/>
  <c r="D8" i="168" s="1"/>
  <c r="E8" i="168" s="1"/>
  <c r="F8" i="168" s="1"/>
  <c r="G8" i="168" s="1"/>
  <c r="H8" i="168" s="1"/>
  <c r="I8" i="168" s="1"/>
  <c r="J8" i="168" s="1"/>
  <c r="K8" i="168" s="1"/>
  <c r="L8" i="168" s="1"/>
  <c r="M8" i="168" s="1"/>
  <c r="N8" i="168" s="1"/>
  <c r="O8" i="168" s="1"/>
  <c r="P8" i="168" s="1"/>
  <c r="Q8" i="16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 J Swaminathan</author>
  </authors>
  <commentList>
    <comment ref="P21" authorId="0" shapeId="0" xr:uid="{F5B55455-9EAB-45CA-82B1-10661A698010}">
      <text>
        <r>
          <rPr>
            <b/>
            <sz val="10"/>
            <color indexed="81"/>
            <rFont val="Candara"/>
            <family val="2"/>
          </rPr>
          <t>L J Swaminathan:</t>
        </r>
        <r>
          <rPr>
            <sz val="10"/>
            <color indexed="81"/>
            <rFont val="Candara"/>
            <family val="2"/>
          </rPr>
          <t xml:space="preserve">
3 Loctites tubes per Generator &amp; 1 fram for AGMS conditioner mounting fabricated onsite</t>
        </r>
      </text>
    </comment>
    <comment ref="D25" authorId="0" shapeId="0" xr:uid="{04BE4802-E6DE-4E40-BD62-4436B3618C5B}">
      <text>
        <r>
          <rPr>
            <b/>
            <sz val="10"/>
            <color indexed="81"/>
            <rFont val="Candara"/>
            <family val="2"/>
          </rPr>
          <t>L J Swaminathan:</t>
        </r>
        <r>
          <rPr>
            <sz val="10"/>
            <color indexed="81"/>
            <rFont val="Candara"/>
            <family val="2"/>
          </rPr>
          <t xml:space="preserve">
24 port required as per specs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Table of Contents" type="6" refreshedVersion="3" background="1" saveData="1">
    <textPr sourceFile="C:\Meggitt\Meggitt\Offer\Sales offer\NHPC, Dulhasti\Table of Contents.txt">
      <textFields>
        <textField/>
      </textFields>
    </textPr>
  </connection>
</connections>
</file>

<file path=xl/sharedStrings.xml><?xml version="1.0" encoding="utf-8"?>
<sst xmlns="http://schemas.openxmlformats.org/spreadsheetml/2006/main" count="360" uniqueCount="234">
  <si>
    <t>Your Partners In Achieving Excellence</t>
  </si>
  <si>
    <t>Our Ref:</t>
  </si>
  <si>
    <t>Bid Stage:</t>
  </si>
  <si>
    <t>Bid Type:</t>
  </si>
  <si>
    <t>Revision</t>
  </si>
  <si>
    <t>00</t>
  </si>
  <si>
    <t>Kind Attn:</t>
  </si>
  <si>
    <t>Subject:</t>
  </si>
  <si>
    <t>Project:</t>
  </si>
  <si>
    <t>Dear Sir,</t>
  </si>
  <si>
    <t>Unit Price ₹</t>
  </si>
  <si>
    <t>Total Price ₹</t>
  </si>
  <si>
    <t>Sl.</t>
  </si>
  <si>
    <t>Measurement Parameter</t>
  </si>
  <si>
    <t>Sensor Type</t>
  </si>
  <si>
    <t>Temp</t>
  </si>
  <si>
    <t>RCM</t>
  </si>
  <si>
    <t>eSAM</t>
  </si>
  <si>
    <t>bSAM</t>
  </si>
  <si>
    <t>UMM</t>
  </si>
  <si>
    <t>Blank</t>
  </si>
  <si>
    <t>PCM</t>
  </si>
  <si>
    <t>Rack Connection Module</t>
  </si>
  <si>
    <t>System Access Module</t>
  </si>
  <si>
    <t>Spare Channel</t>
  </si>
  <si>
    <t>Blank Slot</t>
  </si>
  <si>
    <t>TMM</t>
  </si>
  <si>
    <t>Item Category</t>
  </si>
  <si>
    <t>Item/Scope Description</t>
  </si>
  <si>
    <t>16 Slot System Rack Chassis, VC8000/RCK</t>
  </si>
  <si>
    <t>Rack Connection Module, VC-8000/RCM</t>
  </si>
  <si>
    <t>TBD During Detail Engineering</t>
  </si>
  <si>
    <t>Universal Monitoring Module, VC-8000/UMM</t>
  </si>
  <si>
    <t>Rack Configuration Software</t>
  </si>
  <si>
    <t>Project Engineering, Management &amp; Documentation Services</t>
  </si>
  <si>
    <t>Total For</t>
  </si>
  <si>
    <t>Section</t>
  </si>
  <si>
    <t>Clause #</t>
  </si>
  <si>
    <t>Clause Description</t>
  </si>
  <si>
    <t>Compliance</t>
  </si>
  <si>
    <t>ModAE Comments</t>
  </si>
  <si>
    <t>Status</t>
  </si>
  <si>
    <t>Clarification</t>
  </si>
  <si>
    <t>Air Gap Monitoring System</t>
  </si>
  <si>
    <t>Open</t>
  </si>
  <si>
    <t>Imported Items Pricing &amp; Costing Factors</t>
  </si>
  <si>
    <t>Euro-₹ Base</t>
  </si>
  <si>
    <t>ModAE Costs</t>
  </si>
  <si>
    <t>B&amp;K Disc%</t>
  </si>
  <si>
    <t>Eff. Rate</t>
  </si>
  <si>
    <t>Unit Cost ₹</t>
  </si>
  <si>
    <t>Total Cost ₹</t>
  </si>
  <si>
    <t>Priced</t>
  </si>
  <si>
    <t>M/s. Andritz Hydro Private Limited</t>
  </si>
  <si>
    <t>D-17, MPAKVN Industrial Area</t>
  </si>
  <si>
    <t>Raisen, 462046 Mandideep</t>
  </si>
  <si>
    <t>LCB</t>
  </si>
  <si>
    <t>SAM</t>
  </si>
  <si>
    <t>Net GM ₹</t>
  </si>
  <si>
    <t>Common</t>
  </si>
  <si>
    <t>Unit Price €</t>
  </si>
  <si>
    <t>Total Price €</t>
  </si>
  <si>
    <t>Mounting Adaptor</t>
  </si>
  <si>
    <t>Flexible Conduits</t>
  </si>
  <si>
    <t>Flexible Conduits For Sensor Extension Cables</t>
  </si>
  <si>
    <t>Junction Box</t>
  </si>
  <si>
    <t>Junction Box For Sensors Termination &amp; Drivers</t>
  </si>
  <si>
    <r>
      <t xml:space="preserve">Best Regards,
Ruthvik Satish
Solutions &amp; services engineer
VMS &amp; CMS Solutions
</t>
    </r>
    <r>
      <rPr>
        <b/>
        <sz val="12"/>
        <rFont val="Candara"/>
        <family val="2"/>
      </rPr>
      <t xml:space="preserve">ModAE India Private Limited
</t>
    </r>
    <r>
      <rPr>
        <sz val="12"/>
        <rFont val="Candara"/>
        <family val="2"/>
      </rPr>
      <t xml:space="preserve">Ph: +91 70228 45329
</t>
    </r>
    <r>
      <rPr>
        <sz val="12"/>
        <color rgb="FF3333FF"/>
        <rFont val="Candara"/>
        <family val="2"/>
      </rPr>
      <t xml:space="preserve">ruthvik.satish@mod-ae.com
</t>
    </r>
    <r>
      <rPr>
        <sz val="12"/>
        <rFont val="Candara"/>
        <family val="2"/>
      </rPr>
      <t xml:space="preserve">
</t>
    </r>
  </si>
  <si>
    <t>2606208RS</t>
  </si>
  <si>
    <t>SR</t>
  </si>
  <si>
    <t>Air Gap</t>
  </si>
  <si>
    <t>Bracket Absolute Axial Displacement</t>
  </si>
  <si>
    <t>Air Gap-1</t>
  </si>
  <si>
    <t>Air Gap-2</t>
  </si>
  <si>
    <t>Air Gap-3</t>
  </si>
  <si>
    <t>Air Gap-4</t>
  </si>
  <si>
    <t>Air Gap-5</t>
  </si>
  <si>
    <t>Air Gap-6</t>
  </si>
  <si>
    <t>Air Gap-7</t>
  </si>
  <si>
    <t>Air Gap-8</t>
  </si>
  <si>
    <t>Mounting Accessories</t>
  </si>
  <si>
    <t>Air Gap Sensor With 10 Meter Cable &amp; Conditioner (5-50 mm Range)</t>
  </si>
  <si>
    <t>Project Specific Special Commercial Terms &amp; Conditions:</t>
  </si>
  <si>
    <t>Important Requirements For The Project</t>
  </si>
  <si>
    <t>a.</t>
  </si>
  <si>
    <t>Installation &amp; Commissioning of the system can be staggered or in single stage. This must be clarified purchase order.</t>
  </si>
  <si>
    <t>Arrangement of Vibration and Airgap Sensors</t>
  </si>
  <si>
    <t>-</t>
  </si>
  <si>
    <t>Details of
Sensors</t>
  </si>
  <si>
    <t>Andritz to specify installation plan especially for TSI Vibration &amp; for air gap sensors installation since they will need to be installed before the cover is installed over Turbine.</t>
  </si>
  <si>
    <t>Clarification on Sensor Type: We observed the following discrepancies between the Signal List and the Contractual Requirement of Vibration &amp; Air Gap Monitoring System:
1) Measurement "D" is identified as Bracket Absolute Axial Displacement in the Signal List where it says Sensor "b" (Accelerometer) is required to measure it in UGB, LCB, TGB &amp; TSS; However, the contractual requirement refers to 3 proximity probes at thrust bearing bracket to monitor axial shaft vibration.
2) Clause iii of contractual requirement of VAMS specifies one (1) non-contact proximity probe near the shaft coupling in the Z-axis; However, this measurement point is not reflected in the Signal List (33 sensors per unit).
Kindly clarify the intended requirement.</t>
  </si>
  <si>
    <t>A= Vibration sensor Shaft relative displacement radial
B= Vibration sensor Bracket absolute velocity radial
C= Sensor phase detection-Key phasor
D= Vibration sensor Bracket absolute axial displacement
E= Sensor for Air-Gap
a= Proximity transducer (non-contact type)
b= Accelerometer (Velocity integrated, contact type)
c= Capacitance type air gap sensor</t>
  </si>
  <si>
    <t>The provision for a continuous online monitoring/Analyzing of air gap between stator and rotor shall be made available. The software required for the same shall be included in the dedicated system. 
The probes shall be insensitive to dust, oil vapour, humidity, electrical/magnetic field.</t>
  </si>
  <si>
    <t>1) VC8000 CMS rack has a card named "UMM" (Universal Monitoring Module) which can measure both vibration and air gap in the same online monitoring rack and there is no need of a separate system for air gap. 
2) Customer to send specs of air gap sensor as well as desired outputs from sensor.</t>
  </si>
  <si>
    <t>APPLICABLE STANDARDS FOR VIBRATION</t>
  </si>
  <si>
    <t>Notes:</t>
  </si>
  <si>
    <t>Contractual Requirement of Vibration &amp; Air Gap Monitoring System</t>
  </si>
  <si>
    <t>The systems should be fully integrated with Control System (SCADA) to facilitate shutdown and alarming, trending the values SCADA for diagnosis.</t>
  </si>
  <si>
    <t>Total there are two(2x) industrial computers for six(2x) units. In One (1) of the Industrial computers Monitoring, Analysis &amp; Balancing software [ANDRITZ will not provide any input, supplier has to arrange the requirement of BUMP test if required!] will be installed. This computer act as a server &amp; will have configuration data stored for both the units. The data can be viewed in both the industrial computers.
D-LINK must be of “Managed 24 Port Ethernet” type.
The system monitors shall be equipped with a serial data interface feature for communication of vibration data, alarms, and status signals to the DCS/CONTROL SYSTEM utilizing the MODBUS protocol or hardwire [COMPLETE SCOPE IS WITH SUPPLIER].
IMPORTANT NOTE: The complete scope to connect the VM &amp; ADMS of each unit with UNIT CONTROL BOARD (using Hard wired signal) and with Common Auxiliary Board (using IEC-104 / modbus TCP/IP) is lies with supplier [i.e., all necessary items].</t>
  </si>
  <si>
    <t>Equipment Locations and Cable Routing Distances: For estimation of field cabling and associated hardware, kindly provide details for the following:
1)Distance between Machine to respective Proposed rack/panel
2) Number of JB(s) planned per Machine
3) Distance between Proposed rack/panel to Plant DCS/SCADA/Control System(For MODBUS TCP/IP Connection).
4) Distance between Proposed rack/panel to Industrial VAMS Engineering Workstation/ Computer (including Server).
Proposed Panel Arrangement: The RFQ specifies three (3) VAMS panels for the complete installation. Kindly clarify whether these panels will be installed adjacent to one another or at different locations within the powerhouse.
If the panels are to be installed at different locations, kindly provide:
1) The approximate location of each panel.
2) Which generating unit(s) will interface with each respective panel.
3) The approximate distances between the panel locations, if applicable.</t>
  </si>
  <si>
    <r>
      <t xml:space="preserve">DCS / SCADA Interface Requirements: Kindly confirm whether the following </t>
    </r>
    <r>
      <rPr>
        <b/>
        <sz val="11"/>
        <rFont val="Candara"/>
        <family val="2"/>
      </rPr>
      <t>hardwired interfaces</t>
    </r>
    <r>
      <rPr>
        <sz val="11"/>
        <rFont val="Candara"/>
        <family val="2"/>
      </rPr>
      <t xml:space="preserve"> are required between the VAMS and the Plant DCS/SCADA:
1) 4–20 mA Analog Outputs
2) Relay Outputs (Alarm/Trip/Status)
If applicable, kindly confirm the preferred interface location (e.g., Unit Control Board, Common Auxiliary Board, or any other interface panel) along with the approximate distance from the proposed rack/panel to the respective interface location.</t>
    </r>
  </si>
  <si>
    <t>Total Qty</t>
  </si>
  <si>
    <t>Phase Detection-Keyphasor</t>
  </si>
  <si>
    <t>Proximity Transducer (Non-Contact Type)</t>
  </si>
  <si>
    <t>UGB (+sx &amp; +sy)</t>
  </si>
  <si>
    <t>UGB (+vx &amp; +vy)</t>
  </si>
  <si>
    <t>Accelerometer (Velocity Integrated, Contact Type)</t>
  </si>
  <si>
    <t>UGB (+vz)</t>
  </si>
  <si>
    <t>LCB (+sx &amp; +sy)</t>
  </si>
  <si>
    <t>Shaft Relative Displacement (Radial)</t>
  </si>
  <si>
    <t>Bracket Absolute Velocity (Radial)</t>
  </si>
  <si>
    <t>LCB (+vx &amp; +vy)</t>
  </si>
  <si>
    <t>LCB (+vz)</t>
  </si>
  <si>
    <t>TGB (+sx &amp; +sy)</t>
  </si>
  <si>
    <t>TGB (+vx &amp; +vy)</t>
  </si>
  <si>
    <t>TGB (+vz)</t>
  </si>
  <si>
    <t>TSS (+sx &amp; +sy)</t>
  </si>
  <si>
    <t>TSS (+vx &amp; +vy)</t>
  </si>
  <si>
    <t>TSS (+vz)</t>
  </si>
  <si>
    <t>SF (+vx &amp; +vy)</t>
  </si>
  <si>
    <t>Capacitive Type Air Gap Sensor</t>
  </si>
  <si>
    <t>Qty Per Unit</t>
  </si>
  <si>
    <t>IN081</t>
  </si>
  <si>
    <t>VSI</t>
  </si>
  <si>
    <t>AG</t>
  </si>
  <si>
    <t>Total</t>
  </si>
  <si>
    <t>LCB
RSV (+sy)</t>
  </si>
  <si>
    <t>TGB
Axial (vz)</t>
  </si>
  <si>
    <t>UGB
RSV (+sx)</t>
  </si>
  <si>
    <t>UGB
RSV (+sy)</t>
  </si>
  <si>
    <t>UGB
ABV (+vx)</t>
  </si>
  <si>
    <t>UGB
ABV (+vy)</t>
  </si>
  <si>
    <t>LCB
RSV (+sx)</t>
  </si>
  <si>
    <t>LCB
ABV (+vx)</t>
  </si>
  <si>
    <t>LCB
ABV (+vy)</t>
  </si>
  <si>
    <t>TGB
RSV (+sx)</t>
  </si>
  <si>
    <t>TGB
RSV (+sy)</t>
  </si>
  <si>
    <t>TGB
ABV (+vx)</t>
  </si>
  <si>
    <t>TGB
ABV (+vy)</t>
  </si>
  <si>
    <t>TSS
RSV (+sx)</t>
  </si>
  <si>
    <t>TSS
RSV (+sy)</t>
  </si>
  <si>
    <t>TSS
ABV (+vx)</t>
  </si>
  <si>
    <t>TSS
ABV (+vy)</t>
  </si>
  <si>
    <t>UGB
Axial (vz)</t>
  </si>
  <si>
    <t>LCB
Axial (vz-1)</t>
  </si>
  <si>
    <t>LCB
Axial (vz-2)</t>
  </si>
  <si>
    <t>LCB
Axial (vz-3)</t>
  </si>
  <si>
    <t>TSS
Axial (vz)</t>
  </si>
  <si>
    <t>SF
ABV (+vx)</t>
  </si>
  <si>
    <t>SF
ABV (+vy)</t>
  </si>
  <si>
    <r>
      <t>LCB
Key</t>
    </r>
    <r>
      <rPr>
        <sz val="8"/>
        <rFont val="Aptos Narrow"/>
        <family val="2"/>
      </rPr>
      <t>Ø</t>
    </r>
  </si>
  <si>
    <t>Item-10</t>
  </si>
  <si>
    <t>Spares</t>
  </si>
  <si>
    <t>Mounting Adaptor For Proximity Transducer (Non-Contact Type)</t>
  </si>
  <si>
    <t>Mounting Adaptor For Accelerometer (Velocity Integrated, Contact Type)</t>
  </si>
  <si>
    <t>IN081, Proximity Transducer With 5 Meter Integral Cable &amp; Oscillator</t>
  </si>
  <si>
    <t>VSI-103, Vibration Velocity Sensor With 5 Meter Cable</t>
  </si>
  <si>
    <t>Binding</t>
  </si>
  <si>
    <t>System Access Module, VC-8000/eSAM With 32 GB SD Card</t>
  </si>
  <si>
    <t>Project Engineering &amp; Management Services</t>
  </si>
  <si>
    <t>Networking Switch</t>
  </si>
  <si>
    <t>Server Grade Computer For VAGMS Software</t>
  </si>
  <si>
    <t>JB</t>
  </si>
  <si>
    <t>#Pairs</t>
  </si>
  <si>
    <t># Runs 8-Pair</t>
  </si>
  <si>
    <t>Total 8 Pair Runs</t>
  </si>
  <si>
    <t>NA</t>
  </si>
  <si>
    <t>Cabinet For VAGMS System Racks</t>
  </si>
  <si>
    <t>System Cabinet For VAGMS System Racks &amp; Associated Accessories</t>
  </si>
  <si>
    <t>Technical Compliance &amp; Clarification Table For Vibration &amp; Air Gap Monitoring System For Tarali Pump Storage Project-6 Units (4 x 300 MW) + (2 x 150 MW)</t>
  </si>
  <si>
    <t>IN081/3/110/50/0</t>
  </si>
  <si>
    <t>VC8000/RCK</t>
  </si>
  <si>
    <t>VC-8000/RCM</t>
  </si>
  <si>
    <t>VC-8000/eSAM</t>
  </si>
  <si>
    <t>VC-8000/UMM</t>
  </si>
  <si>
    <t>VC8000 Rack Configuration Software</t>
  </si>
  <si>
    <t>ModAE/PEM-01</t>
  </si>
  <si>
    <t>ModAE/SER-01</t>
  </si>
  <si>
    <t xml:space="preserve">VSI-103/01/01/00/0050/0 </t>
  </si>
  <si>
    <t>Target Price</t>
  </si>
  <si>
    <t>Installation, Commissioning Services</t>
  </si>
  <si>
    <r>
      <t>SETPOINT</t>
    </r>
    <r>
      <rPr>
        <vertAlign val="superscript"/>
        <sz val="11"/>
        <rFont val="Candara"/>
        <family val="2"/>
      </rPr>
      <t>®</t>
    </r>
    <r>
      <rPr>
        <sz val="11"/>
        <rFont val="Candara"/>
        <family val="2"/>
      </rPr>
      <t xml:space="preserve"> Condition Monitoring (Analysis &amp; Diagnostic) Software</t>
    </r>
  </si>
  <si>
    <r>
      <t>SETPOINT</t>
    </r>
    <r>
      <rPr>
        <vertAlign val="superscript"/>
        <sz val="11"/>
        <rFont val="Candara"/>
        <family val="2"/>
      </rPr>
      <t>®</t>
    </r>
    <r>
      <rPr>
        <sz val="11"/>
        <rFont val="Candara"/>
        <family val="2"/>
      </rPr>
      <t xml:space="preserve"> XC CMS Software</t>
    </r>
  </si>
  <si>
    <t>VC8000 Vibration &amp; Air Gap Monitoring System With SETPOINT® Condition Monitoring Software</t>
  </si>
  <si>
    <t>Proposed Model &amp; Part Number</t>
  </si>
  <si>
    <t>Laptop/Desktop Computer For VAGMS Software</t>
  </si>
  <si>
    <t>2. Warranty: 36 Months from the date of Supply Or 24 months from date of commissioning whichever Is Earlier</t>
  </si>
  <si>
    <t>4. Freight &amp; insurance: Andritz Scope/Reimbursed at Actuals</t>
  </si>
  <si>
    <t>6. Payment Terms: 100% Including all Taxes &amp; Duties shall be made through supply chain financing within 45 Days from date of dispatch.</t>
  </si>
  <si>
    <t>8. LD shall be applicable @ 0.5%  per week up to maximum of 5% of the undelivered portion</t>
  </si>
  <si>
    <t>9. Other Terms &amp; Conditions: As per ModAE India Standard Terms &amp; Conditions Of Sale attached herewith</t>
  </si>
  <si>
    <t>10. Make, Model &amp; Part Numbers: Will be provided during detail engineering</t>
  </si>
  <si>
    <t>5. Delivery Period: 30-32 Weeks from PO &amp; after receipt of Manufacturing Clearence or Drawing/Document approval whichever is later</t>
  </si>
  <si>
    <t xml:space="preserve">Field Cable From JB To System Cabinet
- Estimated @ 8 Runs Of 150 Meters Each Per Unit
- 8 Pair Armoured Cable With Individual &amp; Overall Screen
</t>
  </si>
  <si>
    <t>High-end Laptop/Desktop For System Engineering Workstation
- 1TB SSD, 32GB RAM, Windows 11 Professional/Latest (As Applicable)
- External USB Media 1TB Capacity For Data &amp; System Config Backups</t>
  </si>
  <si>
    <t>AGSP-51-N-125-10 &amp; AGSC-51-4-CAB</t>
  </si>
  <si>
    <t>Sensor Location</t>
  </si>
  <si>
    <t>CD+ERV+Cont.</t>
  </si>
  <si>
    <t>With reference to your RFQ # 6001099682 Dated 24-July 2026 we are pleased to submit our Techno-Commercial Proposal for your review and consideration.
Based on our understanding of the requirement and the information shared by your team, we have prepared the enclosed proposal to support your planning, budgeting, and technical evaluation activities. The proposed scope reflects our commitment to delivering practical, reliable, and value-driven solutions aligned with your operational objectives.
We greatly value our continued association with your organization and sincerely appreciate the trust and confidence placed in ModAE India over the course of our previous engagements. Building upon this relationship, we remain committed to providing responsive technical support, quality execution, and solutions that contribute to the reliability and performance of your critical assets.
We trust that the enclosed proposal will meet your present requirements. Should any further technical discussions, clarifications, or refinements be required, our team will be pleased to extend its full support and work closely with your stakeholders.
We thank you for the opportunity to participate in this requirement and look forward to strengthening our ongoing relationship through the successful execution of this and future projects.</t>
  </si>
  <si>
    <t>8 Pair cable in Meters Required for each unit</t>
  </si>
  <si>
    <t xml:space="preserve">12 Port Managed Ethernet Switch For Interface Between:
- VAGMS Rack To Setpoint CMS Server/Workstation
- VAGMS Rack To SCADA For Modbus Connectivity
</t>
  </si>
  <si>
    <t xml:space="preserve">CAT5/6e Cable (100 Metres) For Interface Between:
- VAGMS Cabinet To Setpoint CMS Server/Workstation Connectivity
- VAGMS Panel To Panel Connectivity
- VAGMS Rack To SCADA For Modbus Connectivity
</t>
  </si>
  <si>
    <t>Finance Cost</t>
  </si>
  <si>
    <t xml:space="preserve">Mounting Accessories For Capacitive Type Air Gap Sensor
- Mounting Frame For Air Gap Signal Conditioners
- Loctite Adhesive/Glue Kit For Air Gap Sensor Installation
</t>
  </si>
  <si>
    <t>Net GM %</t>
  </si>
  <si>
    <t>Item-20</t>
  </si>
  <si>
    <t>ModAE/SER-02</t>
  </si>
  <si>
    <t>Note:</t>
  </si>
  <si>
    <t xml:space="preserve">Supervision Of Installation &amp; Commissioning (Qty In Man-days)
- Estimated @ 5 Days Per Unit, &amp; 5 Days For Common Systems
</t>
  </si>
  <si>
    <t>All Travel, Lodging, Boarding, Conveyance &amp; Misc Costs Shall Be Charged Extra At Actuals. Additional Manday Shall Be Charged Extra As Per Agreed Man-day Rates</t>
  </si>
  <si>
    <t xml:space="preserve">Instrumentation Cable from System Cabinet To DCS/SCADA
- Estimated @ 5 Runs Of 100 Meters Each Per Unit
- 8 Pair Armoured Cable With Individual &amp; Overall Screen
</t>
  </si>
  <si>
    <t>Instrumentation Cable From System Cabinet To DCS/SCADA
- For 4-20ma Outputs &amp; Relay Output For Alarm &amp; Trip Signals</t>
  </si>
  <si>
    <t>Ethernet Cable For Interface to System Server, SCADA etc.</t>
  </si>
  <si>
    <t>Quoted Price</t>
  </si>
  <si>
    <t xml:space="preserve">Table Top Server/Workstation For Setpoint CMS Software With:
- 8TB RAID 5 With SSD, 64GB RAM, Windows Server 2019/Latest (As Applicable)
- 32" LED Monitor, A4 Colour Printer, Keyboard &amp; Mouse
</t>
  </si>
  <si>
    <t>7. ModAE Shall provide PBG equivalent to 10% of PO value for a Period Of 36 Months or alternatively an equivalent amount shall be withheld until such period i.e. maximum of 36 months from supply</t>
  </si>
  <si>
    <t>Instrumentation Cable From JB To System Cabinet</t>
  </si>
  <si>
    <t>Additional/Take Off Quantiry For 8 Pair Armoured Cable With Individual &amp; Overall Screen Instrumentation Cables Shall Be @ ₹625 Per Meter</t>
  </si>
  <si>
    <t>Additional/Take Off Quantiry For CAT5/6e Ethernet Cable Shall Be @ ₹ 6750 Per 100 Meters</t>
  </si>
  <si>
    <t xml:space="preserve">Post Commissioning Support Services (Qty In Man-days)
- Estimated @ 5 Days Semi-Annually, Common For All Units
</t>
  </si>
  <si>
    <t>Post Commissioning Support Services For 1 Year</t>
  </si>
  <si>
    <t>Item-30</t>
  </si>
  <si>
    <r>
      <rPr>
        <b/>
        <sz val="12"/>
        <rFont val="Candara"/>
        <family val="2"/>
      </rPr>
      <t>Mr. AA</t>
    </r>
    <r>
      <rPr>
        <sz val="12"/>
        <rFont val="Candara"/>
        <family val="2"/>
      </rPr>
      <t>, Supply Chain Management,
Mobile: +1234567890
email: AA@andritz.com</t>
    </r>
  </si>
  <si>
    <t xml:space="preserve">RFQ # 12345678 Dated 24-July 2026
Proposal For Supply &amp; Services Of Vibration &amp; Air Gap Monitoring System For YYYYYY
</t>
  </si>
  <si>
    <t>YYYYYYYYYYY</t>
  </si>
  <si>
    <t>Summarized Signal List For Vibration &amp; Air Gap Monitoring System YYYYYY</t>
  </si>
  <si>
    <t>Total Signals For Vibration &amp; Air Gap Monitoring System For YYYYYY</t>
  </si>
  <si>
    <t>Proposed Rack Layout For Vibration &amp; Air Gap Monitoring System For YYYYYYYYYY</t>
  </si>
  <si>
    <t xml:space="preserve"> Vibration &amp; Air Gap Monitoring System For YYYYYYYYY</t>
  </si>
  <si>
    <t xml:space="preserve"> Vibration &amp; Air Gap Monitoring System For YYYY</t>
  </si>
  <si>
    <t xml:space="preserve"> Installation, Commissioning &amp; Post Commissioning Support Services For 1 Year ForYYYYY</t>
  </si>
  <si>
    <t>Optional Cables For Vibration &amp; Air Gap Monitoring System For YYYYYYY</t>
  </si>
  <si>
    <t>1. Proposal Validity: - 30 Days from proposal issue date. Exchange rate variations beyond 1% shall be passed to YYYYYY</t>
  </si>
  <si>
    <t xml:space="preserve">3. Price Basis &amp; Inco Terms: FCA Bangalore, i.e. Freight &amp; Insurance in YYYYYY Scope. GST &amp; any other applicable Taxes/Duties shall be extra as applicable at the time if invoicing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</si>
</sst>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3">
    <numFmt numFmtId="164" formatCode="&quot;$&quot;#,##0_);[Red]\(&quot;$&quot;#,##0\)"/>
    <numFmt numFmtId="165" formatCode="&quot;$&quot;#,##0.00_);[Red]\(&quot;$&quot;#,##0.00\)"/>
    <numFmt numFmtId="166" formatCode="_(&quot;$&quot;* #,##0_);_(&quot;$&quot;* \(#,##0\);_(&quot;$&quot;* &quot;-&quot;_);_(@_)"/>
    <numFmt numFmtId="167" formatCode="_(&quot;$&quot;* #,##0.00_);_(&quot;$&quot;* \(#,##0.00\);_(&quot;$&quot;* &quot;-&quot;??_);_(@_)"/>
    <numFmt numFmtId="168" formatCode="_(* #,##0.00_);_(* \(#,##0.00\);_(* &quot;-&quot;??_);_(@_)"/>
    <numFmt numFmtId="169" formatCode="0.000_)"/>
    <numFmt numFmtId="170" formatCode="0.00_)"/>
    <numFmt numFmtId="171" formatCode="_-&quot;₩&quot;* #,##0_-;\-&quot;₩&quot;* #,##0_-;_-&quot;₩&quot;* &quot;-&quot;_-;_-@_-"/>
    <numFmt numFmtId="172" formatCode="_-&quot;₩&quot;* #,##0.00_-;\-&quot;₩&quot;* #,##0.00_-;_-&quot;₩&quot;* &quot;-&quot;??_-;_-@_-"/>
    <numFmt numFmtId="173" formatCode="_-* #,##0_-;\-* #,##0_-;_-* &quot;-&quot;_-;_-@_-"/>
    <numFmt numFmtId="174" formatCode="_-* #,##0.00_-;\-* #,##0.00_-;_-* &quot;-&quot;??_-;_-@_-"/>
    <numFmt numFmtId="175" formatCode="#,##0."/>
    <numFmt numFmtId="176" formatCode="&quot;₩&quot;\$#.00"/>
    <numFmt numFmtId="177" formatCode="\$#."/>
    <numFmt numFmtId="178" formatCode="&quot;₩&quot;\$#."/>
    <numFmt numFmtId="179" formatCode="#.00"/>
    <numFmt numFmtId="180" formatCode="#."/>
    <numFmt numFmtId="181" formatCode="0.0%;[Red]&quot;₩&quot;\(0.0%&quot;₩&quot;\)"/>
    <numFmt numFmtId="182" formatCode="_-&quot;L.&quot;\ * #,##0_-;\-&quot;L.&quot;\ * #,##0_-;_-&quot;L.&quot;\ * &quot;-&quot;_-;_-@_-"/>
    <numFmt numFmtId="183" formatCode="_-&quot;L.&quot;\ * #,##0.00_-;\-&quot;L.&quot;\ * #,##0.00_-;_-&quot;L.&quot;\ * &quot;-&quot;??_-;_-@_-"/>
    <numFmt numFmtId="184" formatCode="&quot;₩&quot;#,##0;&quot;₩&quot;&quot;₩&quot;&quot;₩&quot;&quot;₩&quot;\-#,##0"/>
    <numFmt numFmtId="185" formatCode="#,##0;[Red]&quot;-&quot;#,##0"/>
    <numFmt numFmtId="186" formatCode="&quot;₩&quot;#,##0;[Red]&quot;₩&quot;&quot;₩&quot;&quot;₩&quot;&quot;₩&quot;\-#,##0"/>
    <numFmt numFmtId="187" formatCode="#,##0.00;[Red]&quot;-&quot;#,##0.00"/>
    <numFmt numFmtId="188" formatCode="_-* #,##0.00_-;&quot;₩&quot;&quot;₩&quot;\-* #,##0.00_-;_-* &quot;-&quot;??_-;_-@_-"/>
    <numFmt numFmtId="189" formatCode="_-&quot;₩&quot;* #,##0.00_-;&quot;₩&quot;&quot;₩&quot;\-&quot;₩&quot;* #,##0.00_-;_-&quot;₩&quot;* &quot;-&quot;??_-;_-@_-"/>
    <numFmt numFmtId="190" formatCode="&quot;₩&quot;#,##0.00;&quot;₩&quot;&quot;₩&quot;&quot;₩&quot;&quot;₩&quot;\-#,##0.00"/>
    <numFmt numFmtId="191" formatCode="[$-409]d\-mmm\-yyyy;@"/>
    <numFmt numFmtId="192" formatCode="_ [$₹-4009]\ * #,##0.00_ ;_ [$₹-4009]\ * \-#,##0.00_ ;_ [$₹-4009]\ * &quot;-&quot;??_ ;_ @_ "/>
    <numFmt numFmtId="193" formatCode="_ [$₹-4009]\ * #,##0_ ;_ [$₹-4009]\ * \-#,##0_ ;_ [$₹-4009]\ * &quot;-&quot;??_ ;_ @_ "/>
    <numFmt numFmtId="194" formatCode="_ [$€-2]\ * #,##0_ ;_ [$€-2]\ * \-#,##0_ ;_ [$€-2]\ * &quot;-&quot;??_ ;_ @_ "/>
    <numFmt numFmtId="195" formatCode="0.000%"/>
    <numFmt numFmtId="196" formatCode="_ [$₹-4009]\ * #,##0_ ;_ [$₹-4009]\ * \-#,##0_ ;_ [$₹-4009]\ * &quot;-&quot;?_ ;_ @_ "/>
  </numFmts>
  <fonts count="11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u/>
      <sz val="10"/>
      <color indexed="12"/>
      <name val="Arial"/>
      <family val="2"/>
    </font>
    <font>
      <sz val="11"/>
      <name val="Tms Rmn"/>
      <family val="1"/>
    </font>
    <font>
      <b/>
      <sz val="12"/>
      <name val="Arial"/>
      <family val="2"/>
    </font>
    <font>
      <sz val="8"/>
      <name val="Times New Roman"/>
      <family val="1"/>
    </font>
    <font>
      <sz val="7"/>
      <name val="Small Fonts"/>
      <family val="2"/>
    </font>
    <font>
      <b/>
      <i/>
      <sz val="16"/>
      <name val="Helv"/>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Arial"/>
      <family val="2"/>
    </font>
    <font>
      <u/>
      <sz val="10"/>
      <color indexed="12"/>
      <name val="Arial"/>
      <family val="2"/>
    </font>
    <font>
      <b/>
      <sz val="10"/>
      <name val="Arial"/>
      <family val="2"/>
    </font>
    <font>
      <sz val="11"/>
      <color theme="1"/>
      <name val="Calibri"/>
      <family val="3"/>
      <charset val="129"/>
      <scheme val="minor"/>
    </font>
    <font>
      <sz val="11"/>
      <color rgb="FFFF0000"/>
      <name val="Calibri"/>
      <family val="3"/>
      <charset val="129"/>
      <scheme val="minor"/>
    </font>
    <font>
      <sz val="11"/>
      <name val="돋움"/>
      <family val="3"/>
      <charset val="129"/>
    </font>
    <font>
      <sz val="11"/>
      <color theme="0"/>
      <name val="Calibri"/>
      <family val="3"/>
      <charset val="129"/>
      <scheme val="minor"/>
    </font>
    <font>
      <sz val="12"/>
      <color indexed="8"/>
      <name val="Helv"/>
      <family val="2"/>
    </font>
    <font>
      <b/>
      <sz val="11"/>
      <color indexed="10"/>
      <name val="Calibri"/>
      <family val="2"/>
    </font>
    <font>
      <b/>
      <sz val="10"/>
      <color indexed="12"/>
      <name val="Arial"/>
      <family val="2"/>
    </font>
    <font>
      <sz val="1"/>
      <color indexed="8"/>
      <name val="Courier"/>
      <family val="3"/>
    </font>
    <font>
      <b/>
      <i/>
      <sz val="12"/>
      <name val="Times New Roman"/>
      <family val="1"/>
    </font>
    <font>
      <sz val="10"/>
      <color indexed="24"/>
      <name val="Arial"/>
      <family val="2"/>
    </font>
    <font>
      <sz val="10"/>
      <name val="MS Sans Serif"/>
      <family val="2"/>
    </font>
    <font>
      <i/>
      <sz val="1"/>
      <color indexed="8"/>
      <name val="Courier"/>
      <family val="3"/>
    </font>
    <font>
      <sz val="12"/>
      <name val="Arial"/>
      <family val="2"/>
    </font>
    <font>
      <sz val="10"/>
      <name val="Times New Roman"/>
      <family val="1"/>
    </font>
    <font>
      <b/>
      <sz val="1"/>
      <color indexed="8"/>
      <name val="Courier"/>
      <family val="3"/>
    </font>
    <font>
      <b/>
      <sz val="18"/>
      <name val="Arial"/>
      <family val="2"/>
    </font>
    <font>
      <b/>
      <sz val="10"/>
      <name val="MS Sans Serif"/>
      <family val="2"/>
    </font>
    <font>
      <sz val="8"/>
      <color indexed="8"/>
      <name val="Arial"/>
      <family val="2"/>
    </font>
    <font>
      <b/>
      <sz val="8"/>
      <color indexed="8"/>
      <name val="Arial"/>
      <family val="2"/>
    </font>
    <font>
      <b/>
      <sz val="10"/>
      <color indexed="8"/>
      <name val="Arial"/>
      <family val="2"/>
    </font>
    <font>
      <b/>
      <sz val="12"/>
      <color indexed="8"/>
      <name val="Arial"/>
      <family val="2"/>
    </font>
    <font>
      <b/>
      <sz val="18"/>
      <color indexed="62"/>
      <name val="Cambria"/>
      <family val="1"/>
    </font>
    <font>
      <b/>
      <sz val="15"/>
      <color indexed="62"/>
      <name val="Calibri"/>
      <family val="2"/>
    </font>
    <font>
      <b/>
      <sz val="13"/>
      <color indexed="62"/>
      <name val="Calibri"/>
      <family val="2"/>
    </font>
    <font>
      <b/>
      <sz val="11"/>
      <color indexed="62"/>
      <name val="Calibri"/>
      <family val="2"/>
    </font>
    <font>
      <b/>
      <sz val="10"/>
      <color indexed="14"/>
      <name val="Arial"/>
      <family val="2"/>
    </font>
    <font>
      <b/>
      <i/>
      <sz val="10"/>
      <color indexed="10"/>
      <name val="Arial"/>
      <family val="2"/>
    </font>
    <font>
      <b/>
      <sz val="11"/>
      <color rgb="FFFA7D00"/>
      <name val="Calibri"/>
      <family val="3"/>
      <charset val="129"/>
      <scheme val="minor"/>
    </font>
    <font>
      <sz val="12"/>
      <name val="바탕체"/>
      <family val="1"/>
      <charset val="129"/>
    </font>
    <font>
      <sz val="11"/>
      <color rgb="FF9C0006"/>
      <name val="Calibri"/>
      <family val="3"/>
      <charset val="129"/>
      <scheme val="minor"/>
    </font>
    <font>
      <sz val="11"/>
      <color rgb="FF9C6500"/>
      <name val="Calibri"/>
      <family val="3"/>
      <charset val="129"/>
      <scheme val="minor"/>
    </font>
    <font>
      <i/>
      <sz val="11"/>
      <color rgb="FF7F7F7F"/>
      <name val="Calibri"/>
      <family val="3"/>
      <charset val="129"/>
      <scheme val="minor"/>
    </font>
    <font>
      <b/>
      <sz val="11"/>
      <color theme="0"/>
      <name val="Calibri"/>
      <family val="3"/>
      <charset val="129"/>
      <scheme val="minor"/>
    </font>
    <font>
      <b/>
      <sz val="12"/>
      <color indexed="16"/>
      <name val="굴림체"/>
      <family val="3"/>
      <charset val="129"/>
    </font>
    <font>
      <sz val="11"/>
      <color rgb="FFFA7D00"/>
      <name val="Calibri"/>
      <family val="3"/>
      <charset val="129"/>
      <scheme val="minor"/>
    </font>
    <font>
      <b/>
      <sz val="11"/>
      <color theme="1"/>
      <name val="Calibri"/>
      <family val="3"/>
      <charset val="129"/>
      <scheme val="minor"/>
    </font>
    <font>
      <sz val="11"/>
      <color rgb="FF3F3F76"/>
      <name val="Calibri"/>
      <family val="3"/>
      <charset val="129"/>
      <scheme val="minor"/>
    </font>
    <font>
      <b/>
      <sz val="15"/>
      <color theme="3"/>
      <name val="Calibri"/>
      <family val="3"/>
      <charset val="129"/>
      <scheme val="minor"/>
    </font>
    <font>
      <b/>
      <sz val="13"/>
      <color theme="3"/>
      <name val="Calibri"/>
      <family val="3"/>
      <charset val="129"/>
      <scheme val="minor"/>
    </font>
    <font>
      <b/>
      <sz val="11"/>
      <color theme="3"/>
      <name val="Calibri"/>
      <family val="3"/>
      <charset val="129"/>
      <scheme val="minor"/>
    </font>
    <font>
      <b/>
      <sz val="18"/>
      <color theme="3"/>
      <name val="Cambria"/>
      <family val="3"/>
      <charset val="129"/>
      <scheme val="major"/>
    </font>
    <font>
      <sz val="11"/>
      <color rgb="FF006100"/>
      <name val="Calibri"/>
      <family val="3"/>
      <charset val="129"/>
      <scheme val="minor"/>
    </font>
    <font>
      <b/>
      <sz val="11"/>
      <color rgb="FF3F3F3F"/>
      <name val="Calibri"/>
      <family val="3"/>
      <charset val="129"/>
      <scheme val="minor"/>
    </font>
    <font>
      <sz val="10"/>
      <color indexed="8"/>
      <name val="Arial"/>
      <family val="2"/>
    </font>
    <font>
      <sz val="11"/>
      <name val="Arial"/>
      <family val="2"/>
    </font>
    <font>
      <sz val="11"/>
      <color theme="1"/>
      <name val="돋움"/>
      <family val="3"/>
      <charset val="129"/>
    </font>
    <font>
      <u/>
      <sz val="11"/>
      <color theme="10"/>
      <name val="Calibri"/>
      <family val="3"/>
      <charset val="129"/>
      <scheme val="minor"/>
    </font>
    <font>
      <sz val="10"/>
      <color rgb="FF000000"/>
      <name val="Times New Roman"/>
      <family val="1"/>
    </font>
    <font>
      <b/>
      <sz val="12"/>
      <name val="Candara"/>
      <family val="2"/>
    </font>
    <font>
      <sz val="12"/>
      <name val="Candara"/>
      <family val="2"/>
    </font>
    <font>
      <b/>
      <sz val="12"/>
      <color indexed="55"/>
      <name val="Candara"/>
      <family val="2"/>
    </font>
    <font>
      <sz val="12"/>
      <color indexed="55"/>
      <name val="Candara"/>
      <family val="2"/>
    </font>
    <font>
      <u/>
      <sz val="12"/>
      <color indexed="12"/>
      <name val="Candara"/>
      <family val="2"/>
    </font>
    <font>
      <b/>
      <sz val="11"/>
      <name val="Candara"/>
      <family val="2"/>
    </font>
    <font>
      <sz val="11"/>
      <name val="Candara"/>
      <family val="2"/>
    </font>
    <font>
      <b/>
      <sz val="14"/>
      <name val="Candara"/>
      <family val="2"/>
    </font>
    <font>
      <sz val="9"/>
      <name val="Candara"/>
      <family val="2"/>
    </font>
    <font>
      <sz val="9"/>
      <color theme="1"/>
      <name val="Candara"/>
      <family val="2"/>
    </font>
    <font>
      <sz val="8"/>
      <name val="Candara"/>
      <family val="2"/>
    </font>
    <font>
      <b/>
      <sz val="12"/>
      <color rgb="FF11045C"/>
      <name val="Candara"/>
      <family val="2"/>
    </font>
    <font>
      <sz val="12"/>
      <color rgb="FF000000"/>
      <name val="Candara"/>
      <family val="2"/>
    </font>
    <font>
      <b/>
      <sz val="12"/>
      <color rgb="FF000000"/>
      <name val="Candara"/>
      <family val="2"/>
    </font>
    <font>
      <sz val="11"/>
      <color theme="1"/>
      <name val="Candara"/>
      <family val="2"/>
    </font>
    <font>
      <sz val="10"/>
      <name val="Arial"/>
      <family val="2"/>
    </font>
    <font>
      <u/>
      <sz val="12"/>
      <name val="Candara"/>
      <family val="2"/>
    </font>
    <font>
      <b/>
      <sz val="14"/>
      <color rgb="FF11045C"/>
      <name val="Candara"/>
      <family val="2"/>
    </font>
    <font>
      <b/>
      <i/>
      <sz val="14"/>
      <color rgb="FF3333FF"/>
      <name val="Candara"/>
      <family val="2"/>
    </font>
    <font>
      <sz val="12"/>
      <color rgb="FF3333FF"/>
      <name val="Candara"/>
      <family val="2"/>
    </font>
    <font>
      <b/>
      <i/>
      <sz val="12"/>
      <color rgb="FF3333FF"/>
      <name val="Candara"/>
      <family val="2"/>
    </font>
    <font>
      <b/>
      <sz val="9"/>
      <color rgb="FFFFFF00"/>
      <name val="Candara"/>
      <family val="2"/>
    </font>
    <font>
      <sz val="8"/>
      <name val="Arial"/>
      <family val="2"/>
    </font>
    <font>
      <sz val="11"/>
      <color rgb="FF000000"/>
      <name val="Candara"/>
      <family val="2"/>
    </font>
    <font>
      <b/>
      <sz val="12"/>
      <color rgb="FFFFFF00"/>
      <name val="Candara"/>
      <family val="2"/>
    </font>
    <font>
      <sz val="12"/>
      <color rgb="FFFFFF00"/>
      <name val="Candara"/>
      <family val="2"/>
    </font>
    <font>
      <sz val="8"/>
      <name val="Aptos Narrow"/>
      <family val="2"/>
    </font>
    <font>
      <sz val="11"/>
      <color rgb="FF0000FF"/>
      <name val="Candara"/>
      <family val="2"/>
    </font>
    <font>
      <b/>
      <i/>
      <sz val="14"/>
      <color rgb="FF0000FF"/>
      <name val="Candara"/>
      <family val="2"/>
    </font>
    <font>
      <vertAlign val="superscript"/>
      <sz val="11"/>
      <name val="Candara"/>
      <family val="2"/>
    </font>
    <font>
      <b/>
      <sz val="11"/>
      <color rgb="FF0000FF"/>
      <name val="Candara"/>
      <family val="2"/>
    </font>
    <font>
      <b/>
      <sz val="10"/>
      <color indexed="81"/>
      <name val="Candara"/>
      <family val="2"/>
    </font>
    <font>
      <sz val="10"/>
      <color indexed="81"/>
      <name val="Candara"/>
      <family val="2"/>
    </font>
    <font>
      <b/>
      <sz val="8"/>
      <name val="Candara"/>
      <family val="2"/>
    </font>
    <font>
      <i/>
      <sz val="11"/>
      <name val="Candara"/>
      <family val="2"/>
    </font>
  </fonts>
  <fills count="7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indexed="56"/>
      </patternFill>
    </fill>
    <fill>
      <patternFill patternType="solid">
        <fgColor indexed="54"/>
      </patternFill>
    </fill>
    <fill>
      <patternFill patternType="solid">
        <fgColor indexed="9"/>
      </patternFill>
    </fill>
    <fill>
      <patternFill patternType="solid">
        <fgColor indexed="26"/>
        <bgColor indexed="64"/>
      </patternFill>
    </fill>
    <fill>
      <patternFill patternType="solid">
        <fgColor indexed="42"/>
        <bgColor indexed="64"/>
      </patternFill>
    </fill>
    <fill>
      <patternFill patternType="solid">
        <fgColor indexed="22"/>
        <bgColor indexed="64"/>
      </patternFill>
    </fill>
    <fill>
      <patternFill patternType="solid">
        <fgColor indexed="57"/>
        <bgColor indexed="64"/>
      </patternFill>
    </fill>
    <fill>
      <patternFill patternType="solid">
        <fgColor indexed="59"/>
        <bgColor indexed="64"/>
      </patternFill>
    </fill>
    <fill>
      <patternFill patternType="solid">
        <fgColor indexed="62"/>
        <bgColor indexed="64"/>
      </patternFill>
    </fill>
    <fill>
      <patternFill patternType="solid">
        <fgColor indexed="61"/>
        <bgColor indexed="64"/>
      </patternFill>
    </fill>
    <fill>
      <patternFill patternType="solid">
        <fgColor indexed="60"/>
        <bgColor indexed="64"/>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2F2F2"/>
      </patternFill>
    </fill>
    <fill>
      <patternFill patternType="solid">
        <fgColor rgb="FFFFC7CE"/>
      </patternFill>
    </fill>
    <fill>
      <patternFill patternType="solid">
        <fgColor rgb="FFFFFFCC"/>
      </patternFill>
    </fill>
    <fill>
      <patternFill patternType="solid">
        <fgColor rgb="FFFFEB9C"/>
      </patternFill>
    </fill>
    <fill>
      <patternFill patternType="solid">
        <fgColor rgb="FFA5A5A5"/>
      </patternFill>
    </fill>
    <fill>
      <patternFill patternType="solid">
        <fgColor rgb="FFFFCC99"/>
      </patternFill>
    </fill>
    <fill>
      <patternFill patternType="solid">
        <fgColor rgb="FFC6EFCE"/>
      </patternFill>
    </fill>
    <fill>
      <patternFill patternType="solid">
        <fgColor indexed="9"/>
        <bgColor indexed="64"/>
      </patternFill>
    </fill>
    <fill>
      <patternFill patternType="solid">
        <fgColor theme="0"/>
        <bgColor rgb="FF000000"/>
      </patternFill>
    </fill>
    <fill>
      <patternFill patternType="solid">
        <fgColor theme="4" tint="0.59999389629810485"/>
        <bgColor indexed="64"/>
      </patternFill>
    </fill>
    <fill>
      <patternFill patternType="solid">
        <fgColor theme="3" tint="0.79998168889431442"/>
        <bgColor indexed="64"/>
      </patternFill>
    </fill>
  </fills>
  <borders count="6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double">
        <color indexed="64"/>
      </top>
      <bottom/>
      <diagonal/>
    </border>
    <border>
      <left/>
      <right style="medium">
        <color indexed="64"/>
      </right>
      <top/>
      <bottom/>
      <diagonal/>
    </border>
    <border>
      <left/>
      <right/>
      <top style="thin">
        <color indexed="64"/>
      </top>
      <bottom/>
      <diagonal/>
    </border>
    <border>
      <left/>
      <right/>
      <top style="thin">
        <color indexed="56"/>
      </top>
      <bottom style="double">
        <color indexed="56"/>
      </bottom>
      <diagonal/>
    </border>
    <border>
      <left/>
      <right/>
      <top/>
      <bottom style="thick">
        <color indexed="56"/>
      </bottom>
      <diagonal/>
    </border>
    <border>
      <left/>
      <right/>
      <top/>
      <bottom style="thick">
        <color indexed="27"/>
      </bottom>
      <diagonal/>
    </border>
    <border>
      <left/>
      <right/>
      <top/>
      <bottom style="medium">
        <color indexed="27"/>
      </bottom>
      <diagonal/>
    </border>
    <border>
      <left style="medium">
        <color indexed="12"/>
      </left>
      <right style="medium">
        <color indexed="12"/>
      </right>
      <top style="medium">
        <color indexed="12"/>
      </top>
      <bottom style="medium">
        <color indexed="12"/>
      </bottom>
      <diagonal/>
    </border>
    <border>
      <left/>
      <right/>
      <top/>
      <bottom style="double">
        <color indexed="1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diagonal/>
    </border>
    <border>
      <left/>
      <right/>
      <top/>
      <bottom style="double">
        <color rgb="FF090759"/>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style="thin">
        <color indexed="64"/>
      </bottom>
      <diagonal/>
    </border>
    <border>
      <left/>
      <right style="thin">
        <color indexed="64"/>
      </right>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s>
  <cellStyleXfs count="530">
    <xf numFmtId="0" fontId="0" fillId="0" borderId="0"/>
    <xf numFmtId="0" fontId="13" fillId="2" borderId="0" applyNumberFormat="0" applyBorder="0" applyAlignment="0" applyProtection="0"/>
    <xf numFmtId="0" fontId="13" fillId="3" borderId="0" applyNumberFormat="0" applyBorder="0" applyAlignment="0" applyProtection="0"/>
    <xf numFmtId="0" fontId="13" fillId="4" borderId="0" applyNumberFormat="0" applyBorder="0" applyAlignment="0" applyProtection="0"/>
    <xf numFmtId="0" fontId="13" fillId="5" borderId="0" applyNumberFormat="0" applyBorder="0" applyAlignment="0" applyProtection="0"/>
    <xf numFmtId="0" fontId="13" fillId="6" borderId="0" applyNumberFormat="0" applyBorder="0" applyAlignment="0" applyProtection="0"/>
    <xf numFmtId="0" fontId="13" fillId="7" borderId="0" applyNumberFormat="0" applyBorder="0" applyAlignment="0" applyProtection="0"/>
    <xf numFmtId="0" fontId="13" fillId="8"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5" borderId="0" applyNumberFormat="0" applyBorder="0" applyAlignment="0" applyProtection="0"/>
    <xf numFmtId="0" fontId="13" fillId="8" borderId="0" applyNumberFormat="0" applyBorder="0" applyAlignment="0" applyProtection="0"/>
    <xf numFmtId="0" fontId="13" fillId="11" borderId="0" applyNumberFormat="0" applyBorder="0" applyAlignment="0" applyProtection="0"/>
    <xf numFmtId="0" fontId="14" fillId="12" borderId="0" applyNumberFormat="0" applyBorder="0" applyAlignment="0" applyProtection="0"/>
    <xf numFmtId="0" fontId="14" fillId="9" borderId="0" applyNumberFormat="0" applyBorder="0" applyAlignment="0" applyProtection="0"/>
    <xf numFmtId="0" fontId="14" fillId="10"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4" fillId="17" borderId="0" applyNumberFormat="0" applyBorder="0" applyAlignment="0" applyProtection="0"/>
    <xf numFmtId="0" fontId="14" fillId="18" borderId="0" applyNumberFormat="0" applyBorder="0" applyAlignment="0" applyProtection="0"/>
    <xf numFmtId="0" fontId="14" fillId="13"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15" fillId="3" borderId="0" applyNumberFormat="0" applyBorder="0" applyAlignment="0" applyProtection="0"/>
    <xf numFmtId="0" fontId="16" fillId="20" borderId="1" applyNumberFormat="0" applyAlignment="0" applyProtection="0"/>
    <xf numFmtId="0" fontId="17" fillId="21" borderId="2" applyNumberFormat="0" applyAlignment="0" applyProtection="0"/>
    <xf numFmtId="169" fontId="8" fillId="0" borderId="0"/>
    <xf numFmtId="169" fontId="8" fillId="0" borderId="0"/>
    <xf numFmtId="169" fontId="8" fillId="0" borderId="0"/>
    <xf numFmtId="169" fontId="8" fillId="0" borderId="0"/>
    <xf numFmtId="169" fontId="8" fillId="0" borderId="0"/>
    <xf numFmtId="169" fontId="8" fillId="0" borderId="0"/>
    <xf numFmtId="169" fontId="8" fillId="0" borderId="0"/>
    <xf numFmtId="169" fontId="8" fillId="0" borderId="0"/>
    <xf numFmtId="0" fontId="18" fillId="0" borderId="0" applyNumberFormat="0" applyFill="0" applyBorder="0" applyAlignment="0" applyProtection="0"/>
    <xf numFmtId="0" fontId="19" fillId="4" borderId="0" applyNumberFormat="0" applyBorder="0" applyAlignment="0" applyProtection="0"/>
    <xf numFmtId="0" fontId="9" fillId="0" borderId="3" applyNumberFormat="0" applyAlignment="0" applyProtection="0">
      <alignment horizontal="left" vertical="center"/>
    </xf>
    <xf numFmtId="0" fontId="9" fillId="0" borderId="4">
      <alignment horizontal="left" vertical="center"/>
    </xf>
    <xf numFmtId="0" fontId="20" fillId="0" borderId="5" applyNumberFormat="0" applyFill="0" applyAlignment="0" applyProtection="0"/>
    <xf numFmtId="0" fontId="21" fillId="0" borderId="6" applyNumberFormat="0" applyFill="0" applyAlignment="0" applyProtection="0"/>
    <xf numFmtId="0" fontId="22" fillId="0" borderId="7" applyNumberFormat="0" applyFill="0" applyAlignment="0" applyProtection="0"/>
    <xf numFmtId="0" fontId="22" fillId="0" borderId="0" applyNumberFormat="0" applyFill="0" applyBorder="0" applyAlignment="0" applyProtection="0"/>
    <xf numFmtId="0" fontId="23" fillId="7" borderId="1" applyNumberFormat="0" applyAlignment="0" applyProtection="0"/>
    <xf numFmtId="1" fontId="10" fillId="0" borderId="0">
      <alignment horizontal="center" vertical="center"/>
    </xf>
    <xf numFmtId="0" fontId="24" fillId="0" borderId="8" applyNumberFormat="0" applyFill="0" applyAlignment="0" applyProtection="0"/>
    <xf numFmtId="0" fontId="25" fillId="22" borderId="0" applyNumberFormat="0" applyBorder="0" applyAlignment="0" applyProtection="0"/>
    <xf numFmtId="37" fontId="11" fillId="0" borderId="0"/>
    <xf numFmtId="170" fontId="12" fillId="0" borderId="0"/>
    <xf numFmtId="0" fontId="5" fillId="23" borderId="9" applyNumberFormat="0" applyFont="0" applyAlignment="0" applyProtection="0"/>
    <xf numFmtId="0" fontId="26" fillId="20" borderId="10" applyNumberFormat="0" applyAlignment="0" applyProtection="0"/>
    <xf numFmtId="0" fontId="27" fillId="0" borderId="0" applyNumberFormat="0" applyFill="0" applyBorder="0" applyAlignment="0" applyProtection="0"/>
    <xf numFmtId="0" fontId="28" fillId="0" borderId="11" applyNumberFormat="0" applyFill="0" applyAlignment="0" applyProtection="0"/>
    <xf numFmtId="0" fontId="29" fillId="0" borderId="0" applyNumberFormat="0" applyFill="0" applyBorder="0" applyAlignment="0" applyProtection="0"/>
    <xf numFmtId="0" fontId="30" fillId="0" borderId="0"/>
    <xf numFmtId="0" fontId="30" fillId="0" borderId="0"/>
    <xf numFmtId="9" fontId="30" fillId="0" borderId="0" applyFont="0" applyFill="0" applyBorder="0" applyAlignment="0" applyProtection="0"/>
    <xf numFmtId="167" fontId="30"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8"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167" fontId="30" fillId="0" borderId="0" applyFont="0" applyFill="0" applyBorder="0" applyAlignment="0" applyProtection="0"/>
    <xf numFmtId="0" fontId="31" fillId="0" borderId="0" applyNumberFormat="0" applyFill="0" applyBorder="0" applyAlignment="0" applyProtection="0">
      <alignment vertical="top"/>
      <protection locked="0"/>
    </xf>
    <xf numFmtId="0" fontId="30" fillId="0" borderId="0"/>
    <xf numFmtId="0" fontId="30" fillId="0" borderId="0"/>
    <xf numFmtId="0" fontId="30" fillId="0" borderId="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9" fontId="30"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4" fillId="0" borderId="0" applyFont="0" applyFill="0" applyBorder="0" applyAlignment="0" applyProtection="0"/>
    <xf numFmtId="168" fontId="4" fillId="0" borderId="0" applyFont="0" applyFill="0" applyBorder="0" applyAlignment="0" applyProtection="0"/>
    <xf numFmtId="168" fontId="5" fillId="0" borderId="0" applyFont="0" applyFill="0" applyBorder="0" applyAlignment="0" applyProtection="0"/>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5" fillId="0" borderId="0"/>
    <xf numFmtId="0" fontId="4" fillId="0" borderId="0"/>
    <xf numFmtId="0" fontId="4" fillId="0" borderId="0"/>
    <xf numFmtId="9" fontId="5" fillId="0" borderId="0" applyFont="0" applyFill="0" applyBorder="0" applyAlignment="0" applyProtection="0"/>
    <xf numFmtId="9"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8" fontId="3" fillId="0" borderId="0" applyFont="0" applyFill="0" applyBorder="0" applyAlignment="0" applyProtection="0"/>
    <xf numFmtId="168" fontId="3" fillId="0" borderId="0" applyFont="0" applyFill="0" applyBorder="0" applyAlignment="0" applyProtection="0"/>
    <xf numFmtId="0" fontId="3" fillId="0" borderId="0"/>
    <xf numFmtId="0" fontId="3" fillId="0" borderId="0"/>
    <xf numFmtId="0" fontId="5"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33" fillId="0" borderId="0">
      <alignment vertical="center"/>
    </xf>
    <xf numFmtId="0" fontId="35" fillId="0" borderId="0">
      <alignment vertical="center"/>
    </xf>
    <xf numFmtId="0" fontId="33" fillId="0" borderId="0">
      <alignment vertical="center"/>
    </xf>
    <xf numFmtId="0" fontId="13" fillId="8" borderId="0" applyNumberFormat="0" applyBorder="0" applyAlignment="0" applyProtection="0"/>
    <xf numFmtId="0" fontId="13" fillId="9" borderId="0" applyNumberFormat="0" applyBorder="0" applyAlignment="0" applyProtection="0"/>
    <xf numFmtId="0" fontId="13" fillId="23" borderId="0" applyNumberFormat="0" applyBorder="0" applyAlignment="0" applyProtection="0"/>
    <xf numFmtId="0" fontId="13" fillId="7" borderId="0" applyNumberFormat="0" applyBorder="0" applyAlignment="0" applyProtection="0"/>
    <xf numFmtId="0" fontId="13" fillId="6" borderId="0" applyNumberFormat="0" applyBorder="0" applyAlignment="0" applyProtection="0"/>
    <xf numFmtId="0" fontId="13" fillId="23" borderId="0" applyNumberFormat="0" applyBorder="0" applyAlignment="0" applyProtection="0"/>
    <xf numFmtId="0" fontId="33" fillId="25" borderId="0" applyNumberFormat="0" applyBorder="0" applyAlignment="0" applyProtection="0">
      <alignment vertical="center"/>
    </xf>
    <xf numFmtId="0" fontId="33"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3" fillId="29" borderId="0" applyNumberFormat="0" applyBorder="0" applyAlignment="0" applyProtection="0">
      <alignment vertical="center"/>
    </xf>
    <xf numFmtId="0" fontId="33" fillId="30" borderId="0" applyNumberFormat="0" applyBorder="0" applyAlignment="0" applyProtection="0">
      <alignment vertical="center"/>
    </xf>
    <xf numFmtId="0" fontId="13" fillId="6" borderId="0" applyNumberFormat="0" applyBorder="0" applyAlignment="0" applyProtection="0"/>
    <xf numFmtId="0" fontId="13" fillId="9" borderId="0" applyNumberFormat="0" applyBorder="0" applyAlignment="0" applyProtection="0"/>
    <xf numFmtId="0" fontId="13" fillId="22" borderId="0" applyNumberFormat="0" applyBorder="0" applyAlignment="0" applyProtection="0"/>
    <xf numFmtId="0" fontId="13" fillId="3" borderId="0" applyNumberFormat="0" applyBorder="0" applyAlignment="0" applyProtection="0"/>
    <xf numFmtId="0" fontId="13" fillId="6" borderId="0" applyNumberFormat="0" applyBorder="0" applyAlignment="0" applyProtection="0"/>
    <xf numFmtId="0" fontId="13" fillId="23" borderId="0" applyNumberFormat="0" applyBorder="0" applyAlignment="0" applyProtection="0"/>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3" fillId="33" borderId="0" applyNumberFormat="0" applyBorder="0" applyAlignment="0" applyProtection="0">
      <alignment vertical="center"/>
    </xf>
    <xf numFmtId="0" fontId="33"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14" fillId="6" borderId="0" applyNumberFormat="0" applyBorder="0" applyAlignment="0" applyProtection="0"/>
    <xf numFmtId="0" fontId="14" fillId="19" borderId="0" applyNumberFormat="0" applyBorder="0" applyAlignment="0" applyProtection="0"/>
    <xf numFmtId="0" fontId="14" fillId="11" borderId="0" applyNumberFormat="0" applyBorder="0" applyAlignment="0" applyProtection="0"/>
    <xf numFmtId="0" fontId="14" fillId="3" borderId="0" applyNumberFormat="0" applyBorder="0" applyAlignment="0" applyProtection="0"/>
    <xf numFmtId="0" fontId="14" fillId="6" borderId="0" applyNumberFormat="0" applyBorder="0" applyAlignment="0" applyProtection="0"/>
    <xf numFmtId="0" fontId="14" fillId="9" borderId="0" applyNumberFormat="0" applyBorder="0" applyAlignment="0" applyProtection="0"/>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6" fillId="39" borderId="0" applyNumberFormat="0" applyBorder="0" applyAlignment="0" applyProtection="0">
      <alignment vertical="center"/>
    </xf>
    <xf numFmtId="0" fontId="36" fillId="40" borderId="0" applyNumberFormat="0" applyBorder="0" applyAlignment="0" applyProtection="0">
      <alignment vertical="center"/>
    </xf>
    <xf numFmtId="0" fontId="36" fillId="41" borderId="0" applyNumberFormat="0" applyBorder="0" applyAlignment="0" applyProtection="0">
      <alignment vertical="center"/>
    </xf>
    <xf numFmtId="0" fontId="36" fillId="42" borderId="0" applyNumberFormat="0" applyBorder="0" applyAlignment="0" applyProtection="0">
      <alignment vertical="center"/>
    </xf>
    <xf numFmtId="171" fontId="37" fillId="0" borderId="0" applyFont="0" applyFill="0" applyBorder="0" applyAlignment="0" applyProtection="0"/>
    <xf numFmtId="172" fontId="37" fillId="0" borderId="0" applyFont="0" applyFill="0" applyBorder="0" applyAlignment="0" applyProtection="0"/>
    <xf numFmtId="0" fontId="14" fillId="43" borderId="0" applyNumberFormat="0" applyBorder="0" applyAlignment="0" applyProtection="0"/>
    <xf numFmtId="0" fontId="14" fillId="19" borderId="0" applyNumberFormat="0" applyBorder="0" applyAlignment="0" applyProtection="0"/>
    <xf numFmtId="0" fontId="14" fillId="11" borderId="0" applyNumberFormat="0" applyBorder="0" applyAlignment="0" applyProtection="0"/>
    <xf numFmtId="0" fontId="14" fillId="44" borderId="0" applyNumberFormat="0" applyBorder="0" applyAlignment="0" applyProtection="0"/>
    <xf numFmtId="0" fontId="14" fillId="14" borderId="0" applyNumberFormat="0" applyBorder="0" applyAlignment="0" applyProtection="0"/>
    <xf numFmtId="0" fontId="14" fillId="17" borderId="0" applyNumberFormat="0" applyBorder="0" applyAlignment="0" applyProtection="0"/>
    <xf numFmtId="173" fontId="37" fillId="0" borderId="0" applyFont="0" applyFill="0" applyBorder="0" applyAlignment="0" applyProtection="0"/>
    <xf numFmtId="174" fontId="37" fillId="0" borderId="0" applyFont="0" applyFill="0" applyBorder="0" applyAlignment="0" applyProtection="0"/>
    <xf numFmtId="0" fontId="26" fillId="45" borderId="10" applyNumberFormat="0" applyAlignment="0" applyProtection="0"/>
    <xf numFmtId="0" fontId="38" fillId="45" borderId="1" applyNumberFormat="0" applyAlignment="0" applyProtection="0"/>
    <xf numFmtId="0" fontId="37" fillId="0" borderId="0"/>
    <xf numFmtId="0" fontId="5" fillId="0" borderId="0">
      <alignment horizontal="center"/>
    </xf>
    <xf numFmtId="0" fontId="16" fillId="20" borderId="1" applyNumberFormat="0" applyAlignment="0" applyProtection="0"/>
    <xf numFmtId="0" fontId="16" fillId="20" borderId="1" applyNumberFormat="0" applyAlignment="0" applyProtection="0"/>
    <xf numFmtId="0" fontId="16" fillId="20" borderId="1" applyNumberFormat="0" applyAlignment="0" applyProtection="0"/>
    <xf numFmtId="0" fontId="39" fillId="46" borderId="0">
      <alignment horizontal="center"/>
      <protection locked="0"/>
    </xf>
    <xf numFmtId="175" fontId="40" fillId="0" borderId="0">
      <protection locked="0"/>
    </xf>
    <xf numFmtId="176" fontId="40" fillId="0" borderId="0">
      <protection locked="0"/>
    </xf>
    <xf numFmtId="176" fontId="40" fillId="0" borderId="0">
      <protection locked="0"/>
    </xf>
    <xf numFmtId="177" fontId="40" fillId="0" borderId="0">
      <protection locked="0"/>
    </xf>
    <xf numFmtId="178" fontId="40" fillId="0" borderId="0">
      <protection locked="0"/>
    </xf>
    <xf numFmtId="0" fontId="41" fillId="0" borderId="16" applyNumberFormat="0" applyFill="0" applyBorder="0" applyAlignment="0" applyProtection="0"/>
    <xf numFmtId="0" fontId="32" fillId="47" borderId="0">
      <alignment horizontal="center"/>
    </xf>
    <xf numFmtId="0" fontId="40" fillId="0" borderId="0">
      <protection locked="0"/>
    </xf>
    <xf numFmtId="0" fontId="40" fillId="0" borderId="0">
      <protection locked="0"/>
    </xf>
    <xf numFmtId="0" fontId="42" fillId="0" borderId="0" applyNumberFormat="0" applyFont="0" applyFill="0" applyBorder="0" applyAlignment="0" applyProtection="0"/>
    <xf numFmtId="38" fontId="43" fillId="0" borderId="0" applyFont="0" applyFill="0" applyBorder="0" applyAlignment="0" applyProtection="0"/>
    <xf numFmtId="40" fontId="43" fillId="0" borderId="0" applyFont="0" applyFill="0" applyBorder="0" applyAlignment="0" applyProtection="0"/>
    <xf numFmtId="0" fontId="23" fillId="22" borderId="1" applyNumberFormat="0" applyAlignment="0" applyProtection="0"/>
    <xf numFmtId="0" fontId="28" fillId="0" borderId="17" applyNumberFormat="0" applyFill="0" applyAlignment="0" applyProtection="0"/>
    <xf numFmtId="0" fontId="18" fillId="0" borderId="0" applyNumberFormat="0" applyFill="0" applyBorder="0" applyAlignment="0" applyProtection="0"/>
    <xf numFmtId="0" fontId="40" fillId="0" borderId="0">
      <protection locked="0"/>
    </xf>
    <xf numFmtId="0" fontId="40" fillId="0" borderId="0">
      <protection locked="0"/>
    </xf>
    <xf numFmtId="0" fontId="44" fillId="0" borderId="0">
      <protection locked="0"/>
    </xf>
    <xf numFmtId="0" fontId="40" fillId="0" borderId="0">
      <protection locked="0"/>
    </xf>
    <xf numFmtId="0" fontId="40" fillId="0" borderId="0">
      <protection locked="0"/>
    </xf>
    <xf numFmtId="0" fontId="40" fillId="0" borderId="0">
      <protection locked="0"/>
    </xf>
    <xf numFmtId="0" fontId="44" fillId="0" borderId="0">
      <protection locked="0"/>
    </xf>
    <xf numFmtId="179" fontId="40" fillId="0" borderId="0">
      <protection locked="0"/>
    </xf>
    <xf numFmtId="179" fontId="40" fillId="0" borderId="0">
      <protection locked="0"/>
    </xf>
    <xf numFmtId="2" fontId="45" fillId="0" borderId="0" applyFill="0" applyBorder="0" applyAlignment="0" applyProtection="0"/>
    <xf numFmtId="0" fontId="46" fillId="0" borderId="15" applyNumberFormat="0" applyFill="0" applyBorder="0" applyAlignment="0" applyProtection="0">
      <protection locked="0"/>
    </xf>
    <xf numFmtId="0" fontId="46" fillId="0" borderId="15" applyNumberFormat="0" applyBorder="0" applyAlignment="0" applyProtection="0">
      <protection locked="0"/>
    </xf>
    <xf numFmtId="0" fontId="46" fillId="0" borderId="15" applyNumberFormat="0" applyFill="0" applyBorder="0" applyAlignment="0" applyProtection="0">
      <protection locked="0"/>
    </xf>
    <xf numFmtId="38" fontId="6" fillId="48" borderId="0" applyNumberFormat="0" applyBorder="0" applyAlignment="0" applyProtection="0"/>
    <xf numFmtId="0" fontId="19" fillId="6" borderId="0" applyNumberFormat="0" applyBorder="0" applyAlignment="0" applyProtection="0"/>
    <xf numFmtId="0" fontId="9" fillId="0" borderId="4">
      <alignment horizontal="left" vertical="center"/>
    </xf>
    <xf numFmtId="0" fontId="9" fillId="0" borderId="4">
      <alignment horizontal="left" vertical="center"/>
    </xf>
    <xf numFmtId="0" fontId="9" fillId="0" borderId="4">
      <alignment horizontal="left" vertical="center"/>
    </xf>
    <xf numFmtId="0" fontId="40" fillId="0" borderId="0">
      <protection locked="0"/>
    </xf>
    <xf numFmtId="0" fontId="20" fillId="0" borderId="5" applyNumberFormat="0" applyFill="0" applyAlignment="0" applyProtection="0"/>
    <xf numFmtId="0" fontId="40" fillId="0" borderId="0">
      <protection locked="0"/>
    </xf>
    <xf numFmtId="0" fontId="21" fillId="0" borderId="6" applyNumberFormat="0" applyFill="0" applyAlignment="0" applyProtection="0"/>
    <xf numFmtId="180" fontId="47" fillId="0" borderId="0">
      <protection locked="0"/>
    </xf>
    <xf numFmtId="180" fontId="47" fillId="0" borderId="0">
      <protection locked="0"/>
    </xf>
    <xf numFmtId="0" fontId="48" fillId="0" borderId="0" applyNumberFormat="0" applyFill="0" applyBorder="0" applyAlignment="0" applyProtection="0"/>
    <xf numFmtId="180" fontId="47" fillId="0" borderId="0">
      <protection locked="0"/>
    </xf>
    <xf numFmtId="180" fontId="47" fillId="0" borderId="0">
      <protection locked="0"/>
    </xf>
    <xf numFmtId="0" fontId="9" fillId="0" borderId="0" applyNumberFormat="0" applyFill="0" applyBorder="0" applyAlignment="0" applyProtection="0"/>
    <xf numFmtId="10" fontId="6" fillId="46" borderId="13" applyNumberFormat="0" applyBorder="0" applyAlignment="0" applyProtection="0"/>
    <xf numFmtId="10" fontId="6" fillId="46" borderId="13" applyNumberFormat="0" applyBorder="0" applyAlignment="0" applyProtection="0"/>
    <xf numFmtId="10" fontId="6" fillId="46" borderId="13" applyNumberFormat="0" applyBorder="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173" fontId="5" fillId="0" borderId="0" applyFont="0" applyFill="0" applyBorder="0" applyAlignment="0" applyProtection="0"/>
    <xf numFmtId="174" fontId="5" fillId="0" borderId="0" applyFont="0" applyFill="0" applyBorder="0" applyAlignment="0" applyProtection="0"/>
    <xf numFmtId="166" fontId="5" fillId="0" borderId="0" applyFont="0" applyFill="0" applyBorder="0" applyAlignment="0" applyProtection="0"/>
    <xf numFmtId="167" fontId="5" fillId="0" borderId="0" applyFont="0" applyFill="0" applyBorder="0" applyAlignment="0" applyProtection="0"/>
    <xf numFmtId="181" fontId="3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23" borderId="9" applyNumberFormat="0" applyFont="0" applyAlignment="0" applyProtection="0"/>
    <xf numFmtId="0" fontId="5" fillId="23" borderId="9" applyNumberFormat="0" applyFont="0" applyAlignment="0" applyProtection="0"/>
    <xf numFmtId="0" fontId="43" fillId="23" borderId="9" applyNumberFormat="0" applyFont="0" applyAlignment="0" applyProtection="0"/>
    <xf numFmtId="0" fontId="49" fillId="0" borderId="0" applyNumberFormat="0" applyFill="0" applyBorder="0" applyAlignment="0" applyProtection="0"/>
    <xf numFmtId="0" fontId="26" fillId="20" borderId="10" applyNumberFormat="0" applyAlignment="0" applyProtection="0"/>
    <xf numFmtId="0" fontId="26" fillId="20" borderId="10" applyNumberFormat="0" applyAlignment="0" applyProtection="0"/>
    <xf numFmtId="0" fontId="26" fillId="20" borderId="10" applyNumberFormat="0" applyAlignment="0" applyProtection="0"/>
    <xf numFmtId="10" fontId="5" fillId="0" borderId="0" applyFont="0" applyFill="0" applyBorder="0" applyAlignment="0" applyProtection="0"/>
    <xf numFmtId="49" fontId="50" fillId="49" borderId="0" applyNumberFormat="0" applyBorder="0" applyAlignment="0" applyProtection="0">
      <alignment horizontal="center"/>
    </xf>
    <xf numFmtId="49" fontId="51" fillId="50" borderId="0" applyNumberFormat="0" applyBorder="0" applyAlignment="0" applyProtection="0">
      <alignment horizontal="center"/>
    </xf>
    <xf numFmtId="49" fontId="52" fillId="50" borderId="0" applyNumberFormat="0" applyBorder="0" applyAlignment="0" applyProtection="0">
      <alignment horizontal="center"/>
    </xf>
    <xf numFmtId="0" fontId="51" fillId="51" borderId="0" applyNumberFormat="0" applyBorder="0" applyAlignment="0" applyProtection="0">
      <alignment horizontal="center"/>
    </xf>
    <xf numFmtId="49" fontId="53" fillId="51" borderId="0" applyNumberFormat="0" applyBorder="0" applyAlignment="0" applyProtection="0">
      <alignment horizontal="center"/>
    </xf>
    <xf numFmtId="49" fontId="52" fillId="51" borderId="0" applyNumberFormat="0" applyBorder="0" applyAlignment="0" applyProtection="0">
      <alignment horizontal="center"/>
    </xf>
    <xf numFmtId="0" fontId="50" fillId="51" borderId="0" applyNumberFormat="0" applyBorder="0" applyAlignment="0" applyProtection="0">
      <alignment horizontal="center"/>
    </xf>
    <xf numFmtId="0" fontId="51" fillId="0" borderId="0" applyNumberFormat="0" applyBorder="0" applyAlignment="0" applyProtection="0">
      <alignment horizontal="center"/>
    </xf>
    <xf numFmtId="0" fontId="50" fillId="0" borderId="0" applyNumberFormat="0" applyBorder="0" applyAlignment="0" applyProtection="0">
      <alignment horizontal="center"/>
    </xf>
    <xf numFmtId="49" fontId="51" fillId="52" borderId="0" applyNumberFormat="0" applyBorder="0" applyAlignment="0" applyProtection="0">
      <alignment horizontal="center"/>
    </xf>
    <xf numFmtId="49" fontId="52" fillId="52" borderId="0" applyNumberFormat="0" applyBorder="0" applyAlignment="0" applyProtection="0">
      <alignment horizontal="center"/>
    </xf>
    <xf numFmtId="49" fontId="51" fillId="53" borderId="0" applyNumberFormat="0" applyBorder="0" applyAlignment="0" applyProtection="0">
      <alignment horizontal="center"/>
    </xf>
    <xf numFmtId="49" fontId="52" fillId="53" borderId="0" applyNumberFormat="0" applyBorder="0" applyAlignment="0" applyProtection="0">
      <alignment horizontal="center"/>
    </xf>
    <xf numFmtId="49" fontId="50" fillId="53" borderId="0" applyNumberFormat="0" applyBorder="0" applyAlignment="0" applyProtection="0">
      <alignment horizontal="center"/>
    </xf>
    <xf numFmtId="0" fontId="15" fillId="5" borderId="0" applyNumberFormat="0" applyBorder="0" applyAlignment="0" applyProtection="0"/>
    <xf numFmtId="173" fontId="5" fillId="0" borderId="0" applyFont="0" applyFill="0" applyBorder="0" applyAlignment="0" applyProtection="0"/>
    <xf numFmtId="174" fontId="5" fillId="0" borderId="0" applyFont="0" applyFill="0" applyBorder="0" applyAlignment="0" applyProtection="0"/>
    <xf numFmtId="0" fontId="43" fillId="0" borderId="0"/>
    <xf numFmtId="0" fontId="49" fillId="0" borderId="0" applyNumberFormat="0" applyFill="0" applyBorder="0" applyAlignment="0" applyProtection="0"/>
    <xf numFmtId="0" fontId="40" fillId="0" borderId="14">
      <protection locked="0"/>
    </xf>
    <xf numFmtId="0" fontId="28" fillId="0" borderId="11" applyNumberFormat="0" applyFill="0" applyAlignment="0" applyProtection="0"/>
    <xf numFmtId="0" fontId="54" fillId="0" borderId="0" applyNumberFormat="0" applyFill="0" applyBorder="0" applyAlignment="0" applyProtection="0"/>
    <xf numFmtId="0" fontId="55" fillId="0" borderId="18" applyNumberFormat="0" applyFill="0" applyAlignment="0" applyProtection="0"/>
    <xf numFmtId="0" fontId="56" fillId="0" borderId="19" applyNumberFormat="0" applyFill="0" applyAlignment="0" applyProtection="0"/>
    <xf numFmtId="0" fontId="57" fillId="0" borderId="20" applyNumberFormat="0" applyFill="0" applyAlignment="0" applyProtection="0"/>
    <xf numFmtId="0" fontId="57" fillId="0" borderId="0" applyNumberFormat="0" applyFill="0" applyBorder="0" applyAlignment="0" applyProtection="0"/>
    <xf numFmtId="0" fontId="58" fillId="46" borderId="0">
      <alignment horizontal="center"/>
      <protection locked="0"/>
    </xf>
    <xf numFmtId="0" fontId="5" fillId="0" borderId="21">
      <alignment horizontal="center"/>
    </xf>
    <xf numFmtId="182" fontId="5" fillId="0" borderId="0" applyFont="0" applyFill="0" applyBorder="0" applyAlignment="0" applyProtection="0"/>
    <xf numFmtId="183" fontId="5" fillId="0" borderId="0" applyFont="0" applyFill="0" applyBorder="0" applyAlignment="0" applyProtection="0"/>
    <xf numFmtId="0" fontId="29" fillId="0" borderId="22" applyNumberFormat="0" applyFill="0" applyAlignment="0" applyProtection="0"/>
    <xf numFmtId="164" fontId="43" fillId="0" borderId="0" applyFont="0" applyFill="0" applyBorder="0" applyAlignment="0" applyProtection="0"/>
    <xf numFmtId="165" fontId="43" fillId="0" borderId="0" applyFont="0" applyFill="0" applyBorder="0" applyAlignment="0" applyProtection="0"/>
    <xf numFmtId="0" fontId="29" fillId="0" borderId="0" applyNumberFormat="0" applyFill="0" applyBorder="0" applyAlignment="0" applyProtection="0"/>
    <xf numFmtId="0" fontId="59" fillId="0" borderId="0"/>
    <xf numFmtId="0" fontId="17" fillId="21" borderId="2" applyNumberFormat="0" applyAlignment="0" applyProtection="0"/>
    <xf numFmtId="0" fontId="36" fillId="54" borderId="0" applyNumberFormat="0" applyBorder="0" applyAlignment="0" applyProtection="0">
      <alignment vertical="center"/>
    </xf>
    <xf numFmtId="0" fontId="36" fillId="55" borderId="0" applyNumberFormat="0" applyBorder="0" applyAlignment="0" applyProtection="0">
      <alignment vertical="center"/>
    </xf>
    <xf numFmtId="0" fontId="36" fillId="56" borderId="0" applyNumberFormat="0" applyBorder="0" applyAlignment="0" applyProtection="0">
      <alignment vertical="center"/>
    </xf>
    <xf numFmtId="0" fontId="36" fillId="57" borderId="0" applyNumberFormat="0" applyBorder="0" applyAlignment="0" applyProtection="0">
      <alignment vertical="center"/>
    </xf>
    <xf numFmtId="0" fontId="36" fillId="58" borderId="0" applyNumberFormat="0" applyBorder="0" applyAlignment="0" applyProtection="0">
      <alignment vertical="center"/>
    </xf>
    <xf numFmtId="0" fontId="36" fillId="59" borderId="0" applyNumberFormat="0" applyBorder="0" applyAlignment="0" applyProtection="0">
      <alignment vertical="center"/>
    </xf>
    <xf numFmtId="0" fontId="34" fillId="0" borderId="0" applyNumberFormat="0" applyFill="0" applyBorder="0" applyAlignment="0" applyProtection="0">
      <alignment vertical="center"/>
    </xf>
    <xf numFmtId="0" fontId="60" fillId="60" borderId="23" applyNumberFormat="0" applyAlignment="0" applyProtection="0">
      <alignment vertical="center"/>
    </xf>
    <xf numFmtId="184" fontId="61" fillId="0" borderId="0">
      <protection locked="0"/>
    </xf>
    <xf numFmtId="0" fontId="47" fillId="0" borderId="0">
      <protection locked="0"/>
    </xf>
    <xf numFmtId="0" fontId="47" fillId="0" borderId="0">
      <protection locked="0"/>
    </xf>
    <xf numFmtId="0" fontId="62" fillId="61" borderId="0" applyNumberFormat="0" applyBorder="0" applyAlignment="0" applyProtection="0">
      <alignment vertical="center"/>
    </xf>
    <xf numFmtId="0" fontId="40" fillId="0" borderId="0">
      <protection locked="0"/>
    </xf>
    <xf numFmtId="0" fontId="40" fillId="0" borderId="0">
      <protection locked="0"/>
    </xf>
    <xf numFmtId="0" fontId="33" fillId="62" borderId="24" applyNumberFormat="0" applyFont="0" applyAlignment="0" applyProtection="0">
      <alignment vertical="center"/>
    </xf>
    <xf numFmtId="9" fontId="35" fillId="0" borderId="0" applyFont="0" applyFill="0" applyBorder="0" applyAlignment="0" applyProtection="0"/>
    <xf numFmtId="0" fontId="63" fillId="63" borderId="0" applyNumberFormat="0" applyBorder="0" applyAlignment="0" applyProtection="0">
      <alignment vertical="center"/>
    </xf>
    <xf numFmtId="0" fontId="64" fillId="0" borderId="0" applyNumberFormat="0" applyFill="0" applyBorder="0" applyAlignment="0" applyProtection="0">
      <alignment vertical="center"/>
    </xf>
    <xf numFmtId="0" fontId="65" fillId="64" borderId="25" applyNumberFormat="0" applyAlignment="0" applyProtection="0">
      <alignment vertical="center"/>
    </xf>
    <xf numFmtId="185" fontId="66" fillId="0" borderId="0">
      <alignment vertical="center"/>
    </xf>
    <xf numFmtId="173" fontId="35" fillId="0" borderId="0" applyFont="0" applyFill="0" applyBorder="0" applyAlignment="0" applyProtection="0"/>
    <xf numFmtId="173" fontId="35" fillId="0" borderId="0" applyFont="0" applyFill="0" applyBorder="0" applyAlignment="0" applyProtection="0"/>
    <xf numFmtId="168" fontId="61" fillId="0" borderId="0" applyFont="0" applyFill="0" applyBorder="0" applyAlignment="0" applyProtection="0"/>
    <xf numFmtId="168" fontId="35" fillId="0" borderId="0" applyFont="0" applyFill="0" applyBorder="0" applyAlignment="0" applyProtection="0"/>
    <xf numFmtId="0" fontId="49" fillId="0" borderId="0" applyNumberFormat="0" applyFill="0" applyBorder="0" applyAlignment="0" applyProtection="0"/>
    <xf numFmtId="0" fontId="67" fillId="0" borderId="26" applyNumberFormat="0" applyFill="0" applyAlignment="0" applyProtection="0">
      <alignment vertical="center"/>
    </xf>
    <xf numFmtId="0" fontId="68" fillId="0" borderId="27" applyNumberFormat="0" applyFill="0" applyAlignment="0" applyProtection="0">
      <alignment vertical="center"/>
    </xf>
    <xf numFmtId="0" fontId="69" fillId="65" borderId="23" applyNumberFormat="0" applyAlignment="0" applyProtection="0">
      <alignment vertical="center"/>
    </xf>
    <xf numFmtId="4" fontId="40" fillId="0" borderId="0">
      <protection locked="0"/>
    </xf>
    <xf numFmtId="186" fontId="61" fillId="0" borderId="0">
      <protection locked="0"/>
    </xf>
    <xf numFmtId="0" fontId="70" fillId="0" borderId="28" applyNumberFormat="0" applyFill="0" applyAlignment="0" applyProtection="0">
      <alignment vertical="center"/>
    </xf>
    <xf numFmtId="0" fontId="71" fillId="0" borderId="29" applyNumberFormat="0" applyFill="0" applyAlignment="0" applyProtection="0">
      <alignment vertical="center"/>
    </xf>
    <xf numFmtId="0" fontId="72" fillId="0" borderId="30" applyNumberFormat="0" applyFill="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66" borderId="0" applyNumberFormat="0" applyBorder="0" applyAlignment="0" applyProtection="0">
      <alignment vertical="center"/>
    </xf>
    <xf numFmtId="0" fontId="75" fillId="60" borderId="31" applyNumberFormat="0" applyAlignment="0" applyProtection="0">
      <alignment vertical="center"/>
    </xf>
    <xf numFmtId="185" fontId="61" fillId="0" borderId="0" applyFont="0" applyFill="0" applyBorder="0" applyAlignment="0" applyProtection="0"/>
    <xf numFmtId="187" fontId="61" fillId="0" borderId="0" applyFont="0" applyFill="0" applyBorder="0" applyAlignment="0" applyProtection="0"/>
    <xf numFmtId="171" fontId="35" fillId="0" borderId="0" applyFont="0" applyFill="0" applyBorder="0" applyAlignment="0" applyProtection="0"/>
    <xf numFmtId="188" fontId="61" fillId="0" borderId="0">
      <protection locked="0"/>
    </xf>
    <xf numFmtId="0" fontId="33" fillId="0" borderId="0">
      <alignment vertical="center"/>
    </xf>
    <xf numFmtId="0" fontId="76" fillId="0" borderId="0"/>
    <xf numFmtId="0" fontId="35" fillId="0" borderId="0"/>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43" fillId="0" borderId="0"/>
    <xf numFmtId="0" fontId="33" fillId="0" borderId="0">
      <alignment vertical="center"/>
    </xf>
    <xf numFmtId="0" fontId="35" fillId="0" borderId="0"/>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3" fillId="0" borderId="0">
      <alignment vertical="center"/>
    </xf>
    <xf numFmtId="0" fontId="43" fillId="0" borderId="0"/>
    <xf numFmtId="0" fontId="35" fillId="0" borderId="0"/>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43" fillId="0" borderId="0"/>
    <xf numFmtId="0" fontId="33" fillId="0" borderId="0">
      <alignment vertical="center"/>
    </xf>
    <xf numFmtId="0" fontId="35" fillId="0" borderId="0"/>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43" fillId="0" borderId="0"/>
    <xf numFmtId="0" fontId="35" fillId="0" borderId="0"/>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3" fillId="0" borderId="0">
      <alignment vertical="center"/>
    </xf>
    <xf numFmtId="0" fontId="35" fillId="0" borderId="0"/>
    <xf numFmtId="0" fontId="35" fillId="0" borderId="0">
      <alignment vertical="center"/>
    </xf>
    <xf numFmtId="0" fontId="77" fillId="0" borderId="0"/>
    <xf numFmtId="0" fontId="33" fillId="0" borderId="0">
      <alignment vertical="center"/>
    </xf>
    <xf numFmtId="0" fontId="35" fillId="0" borderId="0"/>
    <xf numFmtId="0" fontId="33" fillId="0" borderId="0">
      <alignment vertical="center"/>
    </xf>
    <xf numFmtId="0" fontId="35" fillId="0" borderId="0"/>
    <xf numFmtId="0" fontId="33" fillId="0" borderId="0">
      <alignment vertical="center"/>
    </xf>
    <xf numFmtId="0" fontId="78" fillId="0" borderId="0">
      <alignment vertical="center"/>
    </xf>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alignment vertical="center"/>
    </xf>
    <xf numFmtId="0" fontId="76" fillId="0" borderId="0"/>
    <xf numFmtId="0" fontId="76" fillId="0" borderId="0"/>
    <xf numFmtId="0" fontId="5" fillId="0" borderId="0"/>
    <xf numFmtId="0" fontId="43" fillId="0" borderId="0"/>
    <xf numFmtId="0" fontId="76" fillId="0" borderId="0"/>
    <xf numFmtId="0" fontId="35" fillId="0" borderId="0"/>
    <xf numFmtId="0" fontId="35" fillId="0" borderId="0"/>
    <xf numFmtId="0" fontId="35" fillId="0" borderId="0"/>
    <xf numFmtId="0" fontId="35" fillId="0" borderId="0"/>
    <xf numFmtId="0" fontId="76" fillId="0" borderId="0"/>
    <xf numFmtId="0" fontId="35" fillId="0" borderId="0"/>
    <xf numFmtId="0" fontId="35" fillId="0" borderId="0"/>
    <xf numFmtId="0" fontId="35" fillId="0" borderId="0"/>
    <xf numFmtId="0" fontId="35" fillId="0" borderId="0"/>
    <xf numFmtId="0" fontId="35" fillId="0" borderId="0"/>
    <xf numFmtId="0" fontId="35" fillId="0" borderId="0"/>
    <xf numFmtId="0" fontId="76" fillId="0" borderId="0"/>
    <xf numFmtId="0" fontId="76"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3" fillId="0" borderId="0">
      <alignment vertical="center"/>
    </xf>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43"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35" fillId="0" borderId="0"/>
    <xf numFmtId="0" fontId="5" fillId="0" borderId="0"/>
    <xf numFmtId="0" fontId="35" fillId="0" borderId="0"/>
    <xf numFmtId="0" fontId="35" fillId="0" borderId="0"/>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43" fillId="0" borderId="0"/>
    <xf numFmtId="0" fontId="33" fillId="0" borderId="0">
      <alignment vertical="center"/>
    </xf>
    <xf numFmtId="0" fontId="43" fillId="0" borderId="0"/>
    <xf numFmtId="0" fontId="35" fillId="0" borderId="0">
      <alignment vertical="center"/>
    </xf>
    <xf numFmtId="0" fontId="35" fillId="0" borderId="0"/>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3" fillId="0" borderId="0">
      <alignment vertical="center"/>
    </xf>
    <xf numFmtId="0" fontId="35" fillId="0" borderId="0"/>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3" fillId="0" borderId="0">
      <alignment vertical="center"/>
    </xf>
    <xf numFmtId="0" fontId="33" fillId="0" borderId="0">
      <alignment vertical="center"/>
    </xf>
    <xf numFmtId="0" fontId="76" fillId="0" borderId="0"/>
    <xf numFmtId="0" fontId="35" fillId="0" borderId="0"/>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35" fillId="0" borderId="0">
      <alignment vertical="center"/>
    </xf>
    <xf numFmtId="0" fontId="79" fillId="0" borderId="0" applyNumberFormat="0" applyFill="0" applyBorder="0" applyAlignment="0" applyProtection="0">
      <alignment vertical="center"/>
    </xf>
    <xf numFmtId="0" fontId="40" fillId="0" borderId="14">
      <protection locked="0"/>
    </xf>
    <xf numFmtId="189" fontId="61" fillId="0" borderId="0">
      <protection locked="0"/>
    </xf>
    <xf numFmtId="190" fontId="61" fillId="0" borderId="0">
      <protection locked="0"/>
    </xf>
    <xf numFmtId="38" fontId="33" fillId="0" borderId="0" applyFont="0" applyFill="0" applyBorder="0" applyAlignment="0" applyProtection="0">
      <alignment vertical="center"/>
    </xf>
    <xf numFmtId="0" fontId="77" fillId="0" borderId="0"/>
    <xf numFmtId="0" fontId="80" fillId="0" borderId="0"/>
    <xf numFmtId="0" fontId="80" fillId="0" borderId="0"/>
    <xf numFmtId="0" fontId="80" fillId="0" borderId="0"/>
    <xf numFmtId="37" fontId="11" fillId="0" borderId="0"/>
    <xf numFmtId="0" fontId="5" fillId="0" borderId="0"/>
    <xf numFmtId="167" fontId="5" fillId="0" borderId="0" applyFont="0" applyFill="0" applyBorder="0" applyAlignment="0" applyProtection="0"/>
    <xf numFmtId="9" fontId="5" fillId="0" borderId="0" applyFont="0" applyFill="0" applyBorder="0" applyAlignment="0" applyProtection="0"/>
    <xf numFmtId="168" fontId="2" fillId="0" borderId="0" applyFont="0" applyFill="0" applyBorder="0" applyAlignment="0" applyProtection="0"/>
    <xf numFmtId="0" fontId="1" fillId="0" borderId="0"/>
    <xf numFmtId="0" fontId="1" fillId="0" borderId="0"/>
    <xf numFmtId="9" fontId="5" fillId="0" borderId="0" applyFont="0" applyFill="0" applyBorder="0" applyAlignment="0" applyProtection="0"/>
    <xf numFmtId="168" fontId="5" fillId="0" borderId="0" applyFont="0" applyFill="0" applyBorder="0" applyAlignment="0" applyProtection="0"/>
    <xf numFmtId="9" fontId="96" fillId="0" borderId="0" applyFont="0" applyFill="0" applyBorder="0" applyAlignment="0" applyProtection="0"/>
  </cellStyleXfs>
  <cellXfs count="236">
    <xf numFmtId="0" fontId="0" fillId="0" borderId="0" xfId="0"/>
    <xf numFmtId="0" fontId="82" fillId="24" borderId="0" xfId="94" applyFont="1" applyFill="1" applyAlignment="1">
      <alignment vertical="center"/>
    </xf>
    <xf numFmtId="0" fontId="82" fillId="24" borderId="0" xfId="94" applyFont="1" applyFill="1" applyAlignment="1">
      <alignment horizontal="center" vertical="center"/>
    </xf>
    <xf numFmtId="0" fontId="82" fillId="24" borderId="0" xfId="521" applyFont="1" applyFill="1" applyAlignment="1">
      <alignment horizontal="left" vertical="center"/>
    </xf>
    <xf numFmtId="0" fontId="82" fillId="24" borderId="0" xfId="521" quotePrefix="1" applyFont="1" applyFill="1" applyAlignment="1">
      <alignment horizontal="left" vertical="center"/>
    </xf>
    <xf numFmtId="0" fontId="82" fillId="24" borderId="0" xfId="94" applyFont="1" applyFill="1" applyAlignment="1">
      <alignment vertical="top"/>
    </xf>
    <xf numFmtId="0" fontId="89" fillId="24" borderId="0" xfId="94" applyFont="1" applyFill="1"/>
    <xf numFmtId="0" fontId="89" fillId="24" borderId="0" xfId="94" applyFont="1" applyFill="1" applyAlignment="1">
      <alignment horizontal="center" vertical="top" wrapText="1"/>
    </xf>
    <xf numFmtId="0" fontId="89" fillId="24" borderId="0" xfId="94" applyFont="1" applyFill="1" applyAlignment="1">
      <alignment horizontal="center"/>
    </xf>
    <xf numFmtId="0" fontId="89" fillId="24" borderId="0" xfId="94" applyFont="1" applyFill="1" applyAlignment="1">
      <alignment horizontal="left" vertical="top"/>
    </xf>
    <xf numFmtId="0" fontId="90" fillId="24" borderId="0" xfId="94" applyFont="1" applyFill="1"/>
    <xf numFmtId="0" fontId="90" fillId="0" borderId="0" xfId="94" quotePrefix="1" applyFont="1" applyAlignment="1">
      <alignment horizontal="center" vertical="center"/>
    </xf>
    <xf numFmtId="0" fontId="90" fillId="24" borderId="0" xfId="94" applyFont="1" applyFill="1" applyAlignment="1">
      <alignment horizontal="center" vertical="center"/>
    </xf>
    <xf numFmtId="0" fontId="90" fillId="0" borderId="0" xfId="94" quotePrefix="1" applyFont="1" applyAlignment="1">
      <alignment horizontal="center" vertical="top"/>
    </xf>
    <xf numFmtId="0" fontId="87" fillId="24" borderId="0" xfId="0" applyFont="1" applyFill="1" applyAlignment="1">
      <alignment horizontal="center" vertical="top"/>
    </xf>
    <xf numFmtId="0" fontId="87" fillId="24" borderId="0" xfId="0" applyFont="1" applyFill="1" applyAlignment="1">
      <alignment vertical="top"/>
    </xf>
    <xf numFmtId="0" fontId="87" fillId="24" borderId="13" xfId="0" applyFont="1" applyFill="1" applyBorder="1" applyAlignment="1">
      <alignment horizontal="left" vertical="top"/>
    </xf>
    <xf numFmtId="0" fontId="87" fillId="24" borderId="13" xfId="0" applyFont="1" applyFill="1" applyBorder="1" applyAlignment="1">
      <alignment horizontal="center" vertical="top"/>
    </xf>
    <xf numFmtId="0" fontId="82" fillId="0" borderId="0" xfId="217" applyFont="1" applyAlignment="1">
      <alignment horizontal="center" vertical="center"/>
    </xf>
    <xf numFmtId="0" fontId="82" fillId="0" borderId="0" xfId="217" applyFont="1" applyAlignment="1">
      <alignment vertical="center"/>
    </xf>
    <xf numFmtId="0" fontId="82" fillId="0" borderId="0" xfId="217" applyFont="1" applyAlignment="1">
      <alignment vertical="center" wrapText="1"/>
    </xf>
    <xf numFmtId="0" fontId="93" fillId="0" borderId="0" xfId="94" applyFont="1" applyAlignment="1">
      <alignment vertical="center"/>
    </xf>
    <xf numFmtId="0" fontId="93" fillId="0" borderId="0" xfId="94" applyFont="1" applyAlignment="1">
      <alignment horizontal="center" vertical="center"/>
    </xf>
    <xf numFmtId="0" fontId="94" fillId="0" borderId="13" xfId="94" applyFont="1" applyBorder="1" applyAlignment="1">
      <alignment horizontal="center" vertical="center" wrapText="1"/>
    </xf>
    <xf numFmtId="0" fontId="82" fillId="24" borderId="34" xfId="94" applyFont="1" applyFill="1" applyBorder="1" applyAlignment="1">
      <alignment horizontal="center" vertical="center"/>
    </xf>
    <xf numFmtId="0" fontId="93" fillId="0" borderId="13" xfId="94" applyFont="1" applyBorder="1" applyAlignment="1">
      <alignment horizontal="right" vertical="center"/>
    </xf>
    <xf numFmtId="0" fontId="82" fillId="24" borderId="12" xfId="94" applyFont="1" applyFill="1" applyBorder="1" applyAlignment="1">
      <alignment horizontal="center" vertical="center"/>
    </xf>
    <xf numFmtId="0" fontId="94" fillId="0" borderId="13" xfId="94" applyFont="1" applyBorder="1" applyAlignment="1">
      <alignment horizontal="center" vertical="center"/>
    </xf>
    <xf numFmtId="0" fontId="94" fillId="0" borderId="0" xfId="94" applyFont="1" applyAlignment="1">
      <alignment vertical="center"/>
    </xf>
    <xf numFmtId="0" fontId="94" fillId="0" borderId="0" xfId="94" applyFont="1" applyAlignment="1">
      <alignment horizontal="center" vertical="center"/>
    </xf>
    <xf numFmtId="0" fontId="93" fillId="0" borderId="0" xfId="94" applyFont="1" applyAlignment="1">
      <alignment horizontal="right" vertical="center"/>
    </xf>
    <xf numFmtId="0" fontId="95" fillId="24" borderId="0" xfId="0" applyFont="1" applyFill="1" applyAlignment="1">
      <alignment vertical="top"/>
    </xf>
    <xf numFmtId="0" fontId="93" fillId="24" borderId="34" xfId="94" applyFont="1" applyFill="1" applyBorder="1" applyAlignment="1">
      <alignment horizontal="left" vertical="center"/>
    </xf>
    <xf numFmtId="0" fontId="93" fillId="24" borderId="12" xfId="94" applyFont="1" applyFill="1" applyBorder="1" applyAlignment="1">
      <alignment horizontal="left" vertical="center"/>
    </xf>
    <xf numFmtId="0" fontId="87" fillId="24" borderId="13" xfId="0" applyFont="1" applyFill="1" applyBorder="1" applyAlignment="1">
      <alignment horizontal="left" vertical="top" wrapText="1"/>
    </xf>
    <xf numFmtId="0" fontId="87" fillId="24" borderId="34" xfId="0" applyFont="1" applyFill="1" applyBorder="1" applyAlignment="1">
      <alignment horizontal="center" vertical="top"/>
    </xf>
    <xf numFmtId="0" fontId="82" fillId="24" borderId="0" xfId="94" applyFont="1" applyFill="1" applyAlignment="1">
      <alignment horizontal="left" vertical="top" wrapText="1"/>
    </xf>
    <xf numFmtId="0" fontId="87" fillId="24" borderId="0" xfId="94" applyFont="1" applyFill="1" applyAlignment="1">
      <alignment vertical="top"/>
    </xf>
    <xf numFmtId="0" fontId="82" fillId="24" borderId="33" xfId="94" applyFont="1" applyFill="1" applyBorder="1" applyAlignment="1">
      <alignment vertical="top"/>
    </xf>
    <xf numFmtId="0" fontId="82" fillId="24" borderId="0" xfId="94" applyFont="1" applyFill="1" applyAlignment="1">
      <alignment horizontal="center" vertical="top"/>
    </xf>
    <xf numFmtId="0" fontId="97" fillId="24" borderId="0" xfId="94" applyFont="1" applyFill="1" applyAlignment="1">
      <alignment vertical="center"/>
    </xf>
    <xf numFmtId="0" fontId="81" fillId="24" borderId="0" xfId="521" applyFont="1" applyFill="1" applyAlignment="1">
      <alignment vertical="top"/>
    </xf>
    <xf numFmtId="0" fontId="87" fillId="24" borderId="12" xfId="0" applyFont="1" applyFill="1" applyBorder="1" applyAlignment="1">
      <alignment horizontal="center" vertical="top"/>
    </xf>
    <xf numFmtId="193" fontId="86" fillId="24" borderId="0" xfId="0" applyNumberFormat="1" applyFont="1" applyFill="1" applyAlignment="1">
      <alignment horizontal="center" vertical="top"/>
    </xf>
    <xf numFmtId="0" fontId="87" fillId="0" borderId="0" xfId="217" applyFont="1" applyAlignment="1">
      <alignment horizontal="center" vertical="center"/>
    </xf>
    <xf numFmtId="0" fontId="87" fillId="24" borderId="0" xfId="217" applyFont="1" applyFill="1" applyAlignment="1">
      <alignment horizontal="center" vertical="center"/>
    </xf>
    <xf numFmtId="0" fontId="87" fillId="0" borderId="0" xfId="217" applyFont="1" applyAlignment="1">
      <alignment horizontal="center" vertical="center" wrapText="1"/>
    </xf>
    <xf numFmtId="0" fontId="86" fillId="24" borderId="12" xfId="217" applyFont="1" applyFill="1" applyBorder="1" applyAlignment="1">
      <alignment horizontal="center" vertical="center"/>
    </xf>
    <xf numFmtId="0" fontId="87" fillId="24" borderId="34" xfId="217" applyFont="1" applyFill="1" applyBorder="1" applyAlignment="1">
      <alignment horizontal="center" vertical="top"/>
    </xf>
    <xf numFmtId="0" fontId="87" fillId="24" borderId="34" xfId="217" applyFont="1" applyFill="1" applyBorder="1" applyAlignment="1">
      <alignment horizontal="left" vertical="top" wrapText="1"/>
    </xf>
    <xf numFmtId="0" fontId="87" fillId="24" borderId="34" xfId="217" applyFont="1" applyFill="1" applyBorder="1" applyAlignment="1">
      <alignment horizontal="justify" vertical="top" wrapText="1"/>
    </xf>
    <xf numFmtId="0" fontId="87" fillId="24" borderId="13" xfId="217" applyFont="1" applyFill="1" applyBorder="1" applyAlignment="1">
      <alignment horizontal="left" vertical="top" wrapText="1"/>
    </xf>
    <xf numFmtId="0" fontId="87" fillId="24" borderId="13" xfId="217" applyFont="1" applyFill="1" applyBorder="1" applyAlignment="1">
      <alignment horizontal="justify" vertical="top" wrapText="1"/>
    </xf>
    <xf numFmtId="0" fontId="87" fillId="24" borderId="34" xfId="217" applyFont="1" applyFill="1" applyBorder="1" applyAlignment="1">
      <alignment horizontal="center" vertical="top" wrapText="1"/>
    </xf>
    <xf numFmtId="0" fontId="87" fillId="24" borderId="34" xfId="217" quotePrefix="1" applyFont="1" applyFill="1" applyBorder="1" applyAlignment="1">
      <alignment horizontal="center" vertical="top"/>
    </xf>
    <xf numFmtId="0" fontId="87" fillId="24" borderId="13" xfId="217" applyFont="1" applyFill="1" applyBorder="1" applyAlignment="1">
      <alignment horizontal="center" vertical="top"/>
    </xf>
    <xf numFmtId="9" fontId="88" fillId="0" borderId="0" xfId="523" applyFont="1" applyBorder="1" applyAlignment="1">
      <alignment horizontal="center" vertical="center"/>
    </xf>
    <xf numFmtId="0" fontId="98" fillId="24" borderId="0" xfId="94" applyFont="1" applyFill="1" applyAlignment="1">
      <alignment horizontal="right" vertical="center"/>
    </xf>
    <xf numFmtId="0" fontId="87" fillId="24" borderId="13" xfId="0" applyFont="1" applyFill="1" applyBorder="1" applyAlignment="1">
      <alignment vertical="top"/>
    </xf>
    <xf numFmtId="0" fontId="81" fillId="24" borderId="0" xfId="94" applyFont="1" applyFill="1" applyAlignment="1">
      <alignment vertical="center"/>
    </xf>
    <xf numFmtId="0" fontId="82" fillId="67" borderId="34" xfId="0" applyFont="1" applyFill="1" applyBorder="1" applyAlignment="1">
      <alignment horizontal="center" vertical="center"/>
    </xf>
    <xf numFmtId="0" fontId="82" fillId="24" borderId="13" xfId="94" applyFont="1" applyFill="1" applyBorder="1" applyAlignment="1">
      <alignment horizontal="center" vertical="center"/>
    </xf>
    <xf numFmtId="0" fontId="82" fillId="67" borderId="13" xfId="0" applyFont="1" applyFill="1" applyBorder="1" applyAlignment="1">
      <alignment horizontal="center" vertical="center"/>
    </xf>
    <xf numFmtId="0" fontId="94" fillId="0" borderId="34" xfId="94" applyFont="1" applyBorder="1" applyAlignment="1">
      <alignment horizontal="center" vertical="center"/>
    </xf>
    <xf numFmtId="0" fontId="99" fillId="24" borderId="0" xfId="94" applyFont="1" applyFill="1" applyAlignment="1">
      <alignment horizontal="right" vertical="top"/>
    </xf>
    <xf numFmtId="0" fontId="82" fillId="68" borderId="0" xfId="217" applyFont="1" applyFill="1" applyAlignment="1">
      <alignment vertical="center"/>
    </xf>
    <xf numFmtId="0" fontId="82" fillId="24" borderId="0" xfId="94" applyFont="1" applyFill="1" applyAlignment="1">
      <alignment horizontal="left" vertical="top"/>
    </xf>
    <xf numFmtId="0" fontId="93" fillId="0" borderId="13" xfId="94" applyFont="1" applyBorder="1" applyAlignment="1">
      <alignment horizontal="center" vertical="center"/>
    </xf>
    <xf numFmtId="0" fontId="93" fillId="24" borderId="13" xfId="94" applyFont="1" applyFill="1" applyBorder="1" applyAlignment="1">
      <alignment horizontal="left" vertical="center"/>
    </xf>
    <xf numFmtId="0" fontId="93" fillId="0" borderId="12" xfId="94" applyFont="1" applyBorder="1" applyAlignment="1">
      <alignment horizontal="center" vertical="center"/>
    </xf>
    <xf numFmtId="0" fontId="101" fillId="24" borderId="0" xfId="94" applyFont="1" applyFill="1" applyAlignment="1">
      <alignment horizontal="right" vertical="top"/>
    </xf>
    <xf numFmtId="0" fontId="102" fillId="24" borderId="0" xfId="94" applyFont="1" applyFill="1" applyAlignment="1">
      <alignment horizontal="left" vertical="top"/>
    </xf>
    <xf numFmtId="0" fontId="102" fillId="0" borderId="0" xfId="94" quotePrefix="1" applyFont="1" applyAlignment="1">
      <alignment horizontal="center" vertical="center"/>
    </xf>
    <xf numFmtId="0" fontId="102" fillId="24" borderId="0" xfId="94" quotePrefix="1" applyFont="1" applyFill="1" applyAlignment="1">
      <alignment horizontal="center" vertical="center"/>
    </xf>
    <xf numFmtId="0" fontId="102" fillId="24" borderId="0" xfId="94" applyFont="1" applyFill="1" applyAlignment="1">
      <alignment horizontal="center" vertical="center"/>
    </xf>
    <xf numFmtId="193" fontId="86" fillId="24" borderId="36" xfId="0" applyNumberFormat="1" applyFont="1" applyFill="1" applyBorder="1" applyAlignment="1">
      <alignment horizontal="center" vertical="top"/>
    </xf>
    <xf numFmtId="0" fontId="87" fillId="68" borderId="0" xfId="0" applyFont="1" applyFill="1" applyAlignment="1">
      <alignment vertical="top"/>
    </xf>
    <xf numFmtId="0" fontId="87" fillId="24" borderId="13" xfId="217" quotePrefix="1" applyFont="1" applyFill="1" applyBorder="1" applyAlignment="1">
      <alignment horizontal="center" vertical="top" wrapText="1"/>
    </xf>
    <xf numFmtId="0" fontId="87" fillId="24" borderId="0" xfId="0" applyFont="1" applyFill="1" applyAlignment="1">
      <alignment horizontal="left" vertical="top"/>
    </xf>
    <xf numFmtId="0" fontId="87" fillId="68" borderId="0" xfId="0" applyFont="1" applyFill="1" applyAlignment="1">
      <alignment horizontal="left" vertical="top"/>
    </xf>
    <xf numFmtId="0" fontId="87" fillId="24" borderId="0" xfId="0" applyFont="1" applyFill="1" applyAlignment="1">
      <alignment horizontal="left" vertical="top" wrapText="1"/>
    </xf>
    <xf numFmtId="0" fontId="99" fillId="24" borderId="0" xfId="94" applyFont="1" applyFill="1" applyAlignment="1">
      <alignment horizontal="center" vertical="top"/>
    </xf>
    <xf numFmtId="0" fontId="99" fillId="24" borderId="0" xfId="94" applyFont="1" applyFill="1" applyAlignment="1">
      <alignment horizontal="right" vertical="center"/>
    </xf>
    <xf numFmtId="0" fontId="93" fillId="0" borderId="13" xfId="94" applyFont="1" applyBorder="1" applyAlignment="1">
      <alignment horizontal="left" vertical="center"/>
    </xf>
    <xf numFmtId="0" fontId="82" fillId="24" borderId="13" xfId="0" applyFont="1" applyFill="1" applyBorder="1" applyAlignment="1">
      <alignment horizontal="center" vertical="center"/>
    </xf>
    <xf numFmtId="0" fontId="105" fillId="0" borderId="0" xfId="94" applyFont="1" applyAlignment="1">
      <alignment horizontal="center" vertical="center"/>
    </xf>
    <xf numFmtId="0" fontId="106" fillId="0" borderId="0" xfId="94" applyFont="1" applyAlignment="1">
      <alignment vertical="center"/>
    </xf>
    <xf numFmtId="0" fontId="87" fillId="24" borderId="12" xfId="0" applyFont="1" applyFill="1" applyBorder="1" applyAlignment="1">
      <alignment vertical="top" wrapText="1"/>
    </xf>
    <xf numFmtId="0" fontId="82" fillId="0" borderId="0" xfId="217" applyFont="1" applyAlignment="1">
      <alignment horizontal="center" vertical="center" wrapText="1"/>
    </xf>
    <xf numFmtId="0" fontId="93" fillId="0" borderId="34" xfId="94" applyFont="1" applyBorder="1" applyAlignment="1">
      <alignment horizontal="center" vertical="center"/>
    </xf>
    <xf numFmtId="0" fontId="94" fillId="0" borderId="12" xfId="94" applyFont="1" applyBorder="1" applyAlignment="1">
      <alignment horizontal="center" vertical="center"/>
    </xf>
    <xf numFmtId="0" fontId="87" fillId="24" borderId="34" xfId="0" applyFont="1" applyFill="1" applyBorder="1" applyAlignment="1">
      <alignment horizontal="left" vertical="top"/>
    </xf>
    <xf numFmtId="0" fontId="86" fillId="24" borderId="0" xfId="0" applyFont="1" applyFill="1" applyAlignment="1">
      <alignment horizontal="center" vertical="top"/>
    </xf>
    <xf numFmtId="0" fontId="86" fillId="24" borderId="0" xfId="0" applyFont="1" applyFill="1" applyAlignment="1">
      <alignment horizontal="left" vertical="top"/>
    </xf>
    <xf numFmtId="0" fontId="86" fillId="24" borderId="34" xfId="0" applyFont="1" applyFill="1" applyBorder="1" applyAlignment="1">
      <alignment horizontal="center" vertical="top"/>
    </xf>
    <xf numFmtId="0" fontId="87" fillId="68" borderId="14" xfId="0" applyFont="1" applyFill="1" applyBorder="1" applyAlignment="1">
      <alignment vertical="top"/>
    </xf>
    <xf numFmtId="0" fontId="86" fillId="24" borderId="34" xfId="94" applyFont="1" applyFill="1" applyBorder="1" applyAlignment="1">
      <alignment horizontal="center" vertical="top"/>
    </xf>
    <xf numFmtId="192" fontId="86" fillId="24" borderId="34" xfId="0" applyNumberFormat="1" applyFont="1" applyFill="1" applyBorder="1" applyAlignment="1">
      <alignment horizontal="center" vertical="top"/>
    </xf>
    <xf numFmtId="0" fontId="86" fillId="24" borderId="13" xfId="0" applyFont="1" applyFill="1" applyBorder="1" applyAlignment="1">
      <alignment horizontal="center" vertical="top"/>
    </xf>
    <xf numFmtId="193" fontId="86" fillId="24" borderId="13" xfId="94" applyNumberFormat="1" applyFont="1" applyFill="1" applyBorder="1" applyAlignment="1">
      <alignment horizontal="center" vertical="top"/>
    </xf>
    <xf numFmtId="0" fontId="86" fillId="24" borderId="13" xfId="94" applyFont="1" applyFill="1" applyBorder="1" applyAlignment="1">
      <alignment horizontal="center" vertical="top"/>
    </xf>
    <xf numFmtId="10" fontId="86" fillId="24" borderId="13" xfId="94" applyNumberFormat="1" applyFont="1" applyFill="1" applyBorder="1" applyAlignment="1">
      <alignment horizontal="center" vertical="top"/>
    </xf>
    <xf numFmtId="192" fontId="86" fillId="24" borderId="13" xfId="94" applyNumberFormat="1" applyFont="1" applyFill="1" applyBorder="1" applyAlignment="1">
      <alignment horizontal="center" vertical="top"/>
    </xf>
    <xf numFmtId="193" fontId="108" fillId="24" borderId="34" xfId="94" applyNumberFormat="1" applyFont="1" applyFill="1" applyBorder="1" applyAlignment="1">
      <alignment vertical="top"/>
    </xf>
    <xf numFmtId="194" fontId="108" fillId="24" borderId="13" xfId="94" applyNumberFormat="1" applyFont="1" applyFill="1" applyBorder="1" applyAlignment="1">
      <alignment vertical="top"/>
    </xf>
    <xf numFmtId="193" fontId="87" fillId="24" borderId="0" xfId="0" applyNumberFormat="1" applyFont="1" applyFill="1" applyAlignment="1">
      <alignment vertical="top"/>
    </xf>
    <xf numFmtId="0" fontId="87" fillId="24" borderId="36" xfId="0" applyFont="1" applyFill="1" applyBorder="1" applyAlignment="1">
      <alignment vertical="top"/>
    </xf>
    <xf numFmtId="194" fontId="108" fillId="24" borderId="34" xfId="94" applyNumberFormat="1" applyFont="1" applyFill="1" applyBorder="1" applyAlignment="1">
      <alignment vertical="top"/>
    </xf>
    <xf numFmtId="0" fontId="109" fillId="24" borderId="0" xfId="94" applyFont="1" applyFill="1" applyAlignment="1">
      <alignment horizontal="right" vertical="center"/>
    </xf>
    <xf numFmtId="0" fontId="87" fillId="24" borderId="0" xfId="0" applyFont="1" applyFill="1" applyAlignment="1">
      <alignment vertical="center"/>
    </xf>
    <xf numFmtId="0" fontId="86" fillId="24" borderId="0" xfId="0" applyFont="1" applyFill="1" applyAlignment="1">
      <alignment horizontal="right" vertical="top"/>
    </xf>
    <xf numFmtId="194" fontId="86" fillId="24" borderId="0" xfId="0" applyNumberFormat="1" applyFont="1" applyFill="1" applyAlignment="1">
      <alignment vertical="top"/>
    </xf>
    <xf numFmtId="193" fontId="86" fillId="24" borderId="0" xfId="0" applyNumberFormat="1" applyFont="1" applyFill="1" applyAlignment="1">
      <alignment vertical="top"/>
    </xf>
    <xf numFmtId="0" fontId="86" fillId="24" borderId="0" xfId="0" applyFont="1" applyFill="1" applyAlignment="1">
      <alignment vertical="top"/>
    </xf>
    <xf numFmtId="0" fontId="86" fillId="24" borderId="0" xfId="0" applyFont="1" applyFill="1" applyAlignment="1">
      <alignment horizontal="center" vertical="center"/>
    </xf>
    <xf numFmtId="0" fontId="82" fillId="24" borderId="39" xfId="217" applyFont="1" applyFill="1" applyBorder="1" applyAlignment="1">
      <alignment horizontal="center" vertical="center"/>
    </xf>
    <xf numFmtId="0" fontId="82" fillId="24" borderId="40" xfId="94" applyFont="1" applyFill="1" applyBorder="1" applyAlignment="1">
      <alignment horizontal="center" vertical="center"/>
    </xf>
    <xf numFmtId="0" fontId="82" fillId="24" borderId="41" xfId="217" applyFont="1" applyFill="1" applyBorder="1" applyAlignment="1">
      <alignment horizontal="center" vertical="center"/>
    </xf>
    <xf numFmtId="0" fontId="82" fillId="24" borderId="37" xfId="217" applyFont="1" applyFill="1" applyBorder="1" applyAlignment="1">
      <alignment horizontal="center" vertical="center"/>
    </xf>
    <xf numFmtId="0" fontId="82" fillId="24" borderId="38" xfId="94" applyFont="1" applyFill="1" applyBorder="1" applyAlignment="1">
      <alignment horizontal="center" vertical="center"/>
    </xf>
    <xf numFmtId="0" fontId="86" fillId="24" borderId="0" xfId="0" applyFont="1" applyFill="1" applyAlignment="1">
      <alignment vertical="center"/>
    </xf>
    <xf numFmtId="193" fontId="87" fillId="24" borderId="34" xfId="94" applyNumberFormat="1" applyFont="1" applyFill="1" applyBorder="1" applyAlignment="1">
      <alignment vertical="top"/>
    </xf>
    <xf numFmtId="193" fontId="87" fillId="24" borderId="13" xfId="94" applyNumberFormat="1" applyFont="1" applyFill="1" applyBorder="1" applyAlignment="1">
      <alignment vertical="top"/>
    </xf>
    <xf numFmtId="0" fontId="105" fillId="0" borderId="0" xfId="94" applyFont="1" applyAlignment="1">
      <alignment vertical="center"/>
    </xf>
    <xf numFmtId="0" fontId="81" fillId="69" borderId="37" xfId="217" applyFont="1" applyFill="1" applyBorder="1" applyAlignment="1">
      <alignment horizontal="center" vertical="center"/>
    </xf>
    <xf numFmtId="0" fontId="81" fillId="69" borderId="12" xfId="94" applyFont="1" applyFill="1" applyBorder="1" applyAlignment="1">
      <alignment horizontal="center" vertical="center"/>
    </xf>
    <xf numFmtId="0" fontId="81" fillId="69" borderId="12" xfId="94" applyFont="1" applyFill="1" applyBorder="1" applyAlignment="1">
      <alignment horizontal="center" vertical="center" wrapText="1"/>
    </xf>
    <xf numFmtId="0" fontId="81" fillId="69" borderId="38" xfId="94" applyFont="1" applyFill="1" applyBorder="1" applyAlignment="1">
      <alignment horizontal="center" vertical="center" wrapText="1"/>
    </xf>
    <xf numFmtId="0" fontId="81" fillId="69" borderId="50" xfId="94" applyFont="1" applyFill="1" applyBorder="1" applyAlignment="1">
      <alignment horizontal="left" vertical="center"/>
    </xf>
    <xf numFmtId="0" fontId="81" fillId="69" borderId="51" xfId="94" applyFont="1" applyFill="1" applyBorder="1" applyAlignment="1">
      <alignment horizontal="center" vertical="center" wrapText="1"/>
    </xf>
    <xf numFmtId="0" fontId="81" fillId="69" borderId="51" xfId="94" applyFont="1" applyFill="1" applyBorder="1" applyAlignment="1">
      <alignment horizontal="center" vertical="center"/>
    </xf>
    <xf numFmtId="0" fontId="81" fillId="69" borderId="52" xfId="94" applyFont="1" applyFill="1" applyBorder="1" applyAlignment="1">
      <alignment horizontal="center" vertical="center"/>
    </xf>
    <xf numFmtId="0" fontId="108" fillId="24" borderId="0" xfId="0" applyFont="1" applyFill="1" applyAlignment="1">
      <alignment vertical="top"/>
    </xf>
    <xf numFmtId="10" fontId="86" fillId="24" borderId="13" xfId="529" applyNumberFormat="1" applyFont="1" applyFill="1" applyBorder="1" applyAlignment="1">
      <alignment horizontal="center" vertical="top"/>
    </xf>
    <xf numFmtId="0" fontId="87" fillId="24" borderId="12" xfId="0" applyFont="1" applyFill="1" applyBorder="1" applyAlignment="1">
      <alignment horizontal="left" vertical="top"/>
    </xf>
    <xf numFmtId="193" fontId="86" fillId="24" borderId="13" xfId="0" applyNumberFormat="1" applyFont="1" applyFill="1" applyBorder="1" applyAlignment="1">
      <alignment horizontal="center" vertical="top"/>
    </xf>
    <xf numFmtId="196" fontId="86" fillId="24" borderId="13" xfId="0" applyNumberFormat="1" applyFont="1" applyFill="1" applyBorder="1" applyAlignment="1">
      <alignment horizontal="center" vertical="top"/>
    </xf>
    <xf numFmtId="193" fontId="86" fillId="24" borderId="34" xfId="94" applyNumberFormat="1" applyFont="1" applyFill="1" applyBorder="1" applyAlignment="1">
      <alignment horizontal="center" vertical="top"/>
    </xf>
    <xf numFmtId="0" fontId="114" fillId="70" borderId="42" xfId="94" applyFont="1" applyFill="1" applyBorder="1" applyAlignment="1">
      <alignment horizontal="center" vertical="center"/>
    </xf>
    <xf numFmtId="0" fontId="114" fillId="70" borderId="43" xfId="94" applyFont="1" applyFill="1" applyBorder="1" applyAlignment="1">
      <alignment horizontal="center" vertical="center"/>
    </xf>
    <xf numFmtId="0" fontId="114" fillId="70" borderId="44" xfId="94" applyFont="1" applyFill="1" applyBorder="1" applyAlignment="1">
      <alignment horizontal="center" vertical="center"/>
    </xf>
    <xf numFmtId="0" fontId="114" fillId="70" borderId="41" xfId="94" applyFont="1" applyFill="1" applyBorder="1" applyAlignment="1">
      <alignment horizontal="center" vertical="center"/>
    </xf>
    <xf numFmtId="0" fontId="114" fillId="70" borderId="13" xfId="94" applyFont="1" applyFill="1" applyBorder="1" applyAlignment="1">
      <alignment horizontal="center" vertical="center"/>
    </xf>
    <xf numFmtId="0" fontId="114" fillId="70" borderId="45" xfId="94" applyFont="1" applyFill="1" applyBorder="1" applyAlignment="1">
      <alignment horizontal="center" vertical="center"/>
    </xf>
    <xf numFmtId="0" fontId="87" fillId="68" borderId="13" xfId="0" applyFont="1" applyFill="1" applyBorder="1" applyAlignment="1">
      <alignment horizontal="left" vertical="top"/>
    </xf>
    <xf numFmtId="0" fontId="104" fillId="68" borderId="13" xfId="0" applyFont="1" applyFill="1" applyBorder="1" applyAlignment="1">
      <alignment horizontal="left" vertical="top" wrapText="1"/>
    </xf>
    <xf numFmtId="0" fontId="87" fillId="24" borderId="55" xfId="0" applyFont="1" applyFill="1" applyBorder="1" applyAlignment="1">
      <alignment vertical="top" wrapText="1"/>
    </xf>
    <xf numFmtId="0" fontId="87" fillId="24" borderId="55" xfId="0" applyFont="1" applyFill="1" applyBorder="1" applyAlignment="1">
      <alignment horizontal="left" vertical="top" wrapText="1"/>
    </xf>
    <xf numFmtId="0" fontId="87" fillId="24" borderId="55" xfId="0" applyFont="1" applyFill="1" applyBorder="1" applyAlignment="1">
      <alignment horizontal="left" vertical="top"/>
    </xf>
    <xf numFmtId="0" fontId="87" fillId="24" borderId="55" xfId="0" applyFont="1" applyFill="1" applyBorder="1" applyAlignment="1">
      <alignment horizontal="center" vertical="top"/>
    </xf>
    <xf numFmtId="0" fontId="87" fillId="24" borderId="34" xfId="0" applyFont="1" applyFill="1" applyBorder="1" applyAlignment="1">
      <alignment horizontal="left" vertical="top" wrapText="1"/>
    </xf>
    <xf numFmtId="0" fontId="108" fillId="24" borderId="0" xfId="0" applyFont="1" applyFill="1" applyAlignment="1">
      <alignment horizontal="center" vertical="top"/>
    </xf>
    <xf numFmtId="193" fontId="111" fillId="24" borderId="0" xfId="0" applyNumberFormat="1" applyFont="1" applyFill="1" applyAlignment="1">
      <alignment horizontal="center" vertical="top"/>
    </xf>
    <xf numFmtId="0" fontId="86" fillId="24" borderId="12" xfId="94" applyFont="1" applyFill="1" applyBorder="1" applyAlignment="1">
      <alignment horizontal="center" vertical="top"/>
    </xf>
    <xf numFmtId="10" fontId="86" fillId="24" borderId="0" xfId="523" applyNumberFormat="1" applyFont="1" applyFill="1" applyBorder="1" applyAlignment="1">
      <alignment horizontal="center" vertical="top"/>
    </xf>
    <xf numFmtId="194" fontId="87" fillId="24" borderId="13" xfId="94" applyNumberFormat="1" applyFont="1" applyFill="1" applyBorder="1" applyAlignment="1">
      <alignment vertical="top"/>
    </xf>
    <xf numFmtId="194" fontId="87" fillId="24" borderId="34" xfId="94" applyNumberFormat="1" applyFont="1" applyFill="1" applyBorder="1" applyAlignment="1">
      <alignment vertical="top"/>
    </xf>
    <xf numFmtId="192" fontId="86" fillId="24" borderId="34" xfId="94" applyNumberFormat="1" applyFont="1" applyFill="1" applyBorder="1" applyAlignment="1">
      <alignment horizontal="center" vertical="top"/>
    </xf>
    <xf numFmtId="193" fontId="86" fillId="24" borderId="34" xfId="94" applyNumberFormat="1" applyFont="1" applyFill="1" applyBorder="1" applyAlignment="1">
      <alignment vertical="top"/>
    </xf>
    <xf numFmtId="194" fontId="86" fillId="24" borderId="34" xfId="94" applyNumberFormat="1" applyFont="1" applyFill="1" applyBorder="1" applyAlignment="1">
      <alignment vertical="top"/>
    </xf>
    <xf numFmtId="10" fontId="86" fillId="24" borderId="0" xfId="529" applyNumberFormat="1" applyFont="1" applyFill="1" applyAlignment="1">
      <alignment horizontal="center" vertical="top"/>
    </xf>
    <xf numFmtId="192" fontId="86" fillId="24" borderId="0" xfId="94" applyNumberFormat="1" applyFont="1" applyFill="1" applyAlignment="1">
      <alignment horizontal="center" vertical="top"/>
    </xf>
    <xf numFmtId="193" fontId="86" fillId="24" borderId="0" xfId="94" applyNumberFormat="1" applyFont="1" applyFill="1" applyAlignment="1">
      <alignment vertical="top"/>
    </xf>
    <xf numFmtId="10" fontId="86" fillId="24" borderId="0" xfId="529" applyNumberFormat="1" applyFont="1" applyFill="1" applyBorder="1" applyAlignment="1">
      <alignment horizontal="center" vertical="top"/>
    </xf>
    <xf numFmtId="193" fontId="87" fillId="24" borderId="12" xfId="94" applyNumberFormat="1" applyFont="1" applyFill="1" applyBorder="1" applyAlignment="1">
      <alignment vertical="top"/>
    </xf>
    <xf numFmtId="194" fontId="87" fillId="24" borderId="12" xfId="94" applyNumberFormat="1" applyFont="1" applyFill="1" applyBorder="1" applyAlignment="1">
      <alignment vertical="top"/>
    </xf>
    <xf numFmtId="193" fontId="87" fillId="24" borderId="54" xfId="94" applyNumberFormat="1" applyFont="1" applyFill="1" applyBorder="1" applyAlignment="1">
      <alignment vertical="top"/>
    </xf>
    <xf numFmtId="194" fontId="87" fillId="24" borderId="54" xfId="94" applyNumberFormat="1" applyFont="1" applyFill="1" applyBorder="1" applyAlignment="1">
      <alignment vertical="top"/>
    </xf>
    <xf numFmtId="193" fontId="87" fillId="24" borderId="55" xfId="94" applyNumberFormat="1" applyFont="1" applyFill="1" applyBorder="1" applyAlignment="1">
      <alignment vertical="top"/>
    </xf>
    <xf numFmtId="194" fontId="87" fillId="24" borderId="55" xfId="94" applyNumberFormat="1" applyFont="1" applyFill="1" applyBorder="1" applyAlignment="1">
      <alignment vertical="top"/>
    </xf>
    <xf numFmtId="0" fontId="115" fillId="24" borderId="0" xfId="0" applyFont="1" applyFill="1" applyAlignment="1">
      <alignment horizontal="left" vertical="top"/>
    </xf>
    <xf numFmtId="193" fontId="86" fillId="24" borderId="13" xfId="0" applyNumberFormat="1" applyFont="1" applyFill="1" applyBorder="1" applyAlignment="1">
      <alignment vertical="top"/>
    </xf>
    <xf numFmtId="9" fontId="87" fillId="24" borderId="0" xfId="523" applyFont="1" applyFill="1" applyAlignment="1">
      <alignment horizontal="center" vertical="top"/>
    </xf>
    <xf numFmtId="195" fontId="87" fillId="24" borderId="0" xfId="523" applyNumberFormat="1" applyFont="1" applyFill="1" applyAlignment="1">
      <alignment horizontal="center" vertical="top"/>
    </xf>
    <xf numFmtId="193" fontId="86" fillId="24" borderId="0" xfId="94" applyNumberFormat="1" applyFont="1" applyFill="1" applyAlignment="1">
      <alignment horizontal="center" vertical="top"/>
    </xf>
    <xf numFmtId="194" fontId="86" fillId="24" borderId="0" xfId="94" applyNumberFormat="1" applyFont="1" applyFill="1" applyAlignment="1">
      <alignment vertical="top"/>
    </xf>
    <xf numFmtId="193" fontId="87" fillId="24" borderId="56" xfId="0" applyNumberFormat="1" applyFont="1" applyFill="1" applyBorder="1" applyAlignment="1">
      <alignment horizontal="center" vertical="top"/>
    </xf>
    <xf numFmtId="193" fontId="87" fillId="24" borderId="57" xfId="0" applyNumberFormat="1" applyFont="1" applyFill="1" applyBorder="1" applyAlignment="1">
      <alignment horizontal="center" vertical="top"/>
    </xf>
    <xf numFmtId="193" fontId="87" fillId="24" borderId="58" xfId="0" applyNumberFormat="1" applyFont="1" applyFill="1" applyBorder="1" applyAlignment="1">
      <alignment horizontal="center" vertical="top"/>
    </xf>
    <xf numFmtId="0" fontId="86" fillId="70" borderId="12" xfId="0" applyFont="1" applyFill="1" applyBorder="1" applyAlignment="1">
      <alignment horizontal="center" vertical="top"/>
    </xf>
    <xf numFmtId="0" fontId="86" fillId="70" borderId="58" xfId="0" applyFont="1" applyFill="1" applyBorder="1" applyAlignment="1">
      <alignment horizontal="center" vertical="top"/>
    </xf>
    <xf numFmtId="193" fontId="87" fillId="24" borderId="34" xfId="0" applyNumberFormat="1" applyFont="1" applyFill="1" applyBorder="1" applyAlignment="1">
      <alignment horizontal="center" vertical="top"/>
    </xf>
    <xf numFmtId="0" fontId="86" fillId="70" borderId="59" xfId="0" applyFont="1" applyFill="1" applyBorder="1" applyAlignment="1">
      <alignment horizontal="center" vertical="center"/>
    </xf>
    <xf numFmtId="193" fontId="87" fillId="24" borderId="55" xfId="0" applyNumberFormat="1" applyFont="1" applyFill="1" applyBorder="1" applyAlignment="1">
      <alignment horizontal="center" vertical="top"/>
    </xf>
    <xf numFmtId="193" fontId="87" fillId="24" borderId="12" xfId="0" applyNumberFormat="1" applyFont="1" applyFill="1" applyBorder="1" applyAlignment="1">
      <alignment horizontal="center" vertical="top"/>
    </xf>
    <xf numFmtId="192" fontId="87" fillId="24" borderId="0" xfId="0" applyNumberFormat="1" applyFont="1" applyFill="1" applyAlignment="1">
      <alignment vertical="top"/>
    </xf>
    <xf numFmtId="193" fontId="86" fillId="70" borderId="60" xfId="0" applyNumberFormat="1" applyFont="1" applyFill="1" applyBorder="1" applyAlignment="1">
      <alignment horizontal="center" vertical="center"/>
    </xf>
    <xf numFmtId="193" fontId="86" fillId="70" borderId="57" xfId="0" applyNumberFormat="1" applyFont="1" applyFill="1" applyBorder="1" applyAlignment="1">
      <alignment horizontal="center" vertical="center"/>
    </xf>
    <xf numFmtId="0" fontId="86" fillId="24" borderId="36" xfId="0" applyFont="1" applyFill="1" applyBorder="1" applyAlignment="1">
      <alignment horizontal="left" vertical="top"/>
    </xf>
    <xf numFmtId="9" fontId="87" fillId="24" borderId="0" xfId="529" applyFont="1" applyFill="1" applyAlignment="1">
      <alignment horizontal="center" vertical="top"/>
    </xf>
    <xf numFmtId="0" fontId="86" fillId="24" borderId="12" xfId="0" applyFont="1" applyFill="1" applyBorder="1" applyAlignment="1">
      <alignment horizontal="center" vertical="top"/>
    </xf>
    <xf numFmtId="0" fontId="81" fillId="24" borderId="36" xfId="0" applyFont="1" applyFill="1" applyBorder="1" applyAlignment="1">
      <alignment horizontal="center" vertical="center"/>
    </xf>
    <xf numFmtId="0" fontId="86" fillId="70" borderId="60" xfId="0" applyFont="1" applyFill="1" applyBorder="1" applyAlignment="1">
      <alignment horizontal="left" vertical="center"/>
    </xf>
    <xf numFmtId="0" fontId="87" fillId="24" borderId="13" xfId="0" applyFont="1" applyFill="1" applyBorder="1" applyAlignment="1">
      <alignment horizontal="center" vertical="top"/>
    </xf>
    <xf numFmtId="0" fontId="87" fillId="24" borderId="13" xfId="0" applyFont="1" applyFill="1" applyBorder="1" applyAlignment="1">
      <alignment horizontal="left" vertical="top" wrapText="1"/>
    </xf>
    <xf numFmtId="0" fontId="85" fillId="24" borderId="0" xfId="81" applyFont="1" applyFill="1" applyAlignment="1" applyProtection="1">
      <alignment horizontal="right" vertical="top"/>
    </xf>
    <xf numFmtId="0" fontId="84" fillId="24" borderId="0" xfId="94" applyFont="1" applyFill="1" applyAlignment="1">
      <alignment horizontal="right" vertical="top"/>
    </xf>
    <xf numFmtId="0" fontId="92" fillId="24" borderId="0" xfId="94" applyFont="1" applyFill="1" applyAlignment="1">
      <alignment horizontal="left" vertical="top"/>
    </xf>
    <xf numFmtId="0" fontId="92" fillId="24" borderId="33" xfId="94" applyFont="1" applyFill="1" applyBorder="1" applyAlignment="1">
      <alignment horizontal="left" vertical="top"/>
    </xf>
    <xf numFmtId="0" fontId="99" fillId="24" borderId="0" xfId="94" applyFont="1" applyFill="1" applyAlignment="1">
      <alignment horizontal="right" vertical="top"/>
    </xf>
    <xf numFmtId="191" fontId="82" fillId="24" borderId="0" xfId="94" applyNumberFormat="1" applyFont="1" applyFill="1" applyAlignment="1">
      <alignment horizontal="left" vertical="center"/>
    </xf>
    <xf numFmtId="0" fontId="82" fillId="24" borderId="0" xfId="521" applyFont="1" applyFill="1" applyAlignment="1">
      <alignment horizontal="left" vertical="top" wrapText="1"/>
    </xf>
    <xf numFmtId="0" fontId="82" fillId="24" borderId="0" xfId="521" applyFont="1" applyFill="1" applyAlignment="1">
      <alignment horizontal="left" vertical="center"/>
    </xf>
    <xf numFmtId="0" fontId="82" fillId="24" borderId="0" xfId="94" applyFont="1" applyFill="1" applyAlignment="1">
      <alignment horizontal="left" vertical="top" wrapText="1"/>
    </xf>
    <xf numFmtId="0" fontId="83" fillId="24" borderId="0" xfId="94" applyFont="1" applyFill="1" applyAlignment="1">
      <alignment horizontal="left" vertical="top" wrapText="1"/>
    </xf>
    <xf numFmtId="0" fontId="84" fillId="24" borderId="0" xfId="94" applyFont="1" applyFill="1" applyAlignment="1">
      <alignment horizontal="left" vertical="top" wrapText="1"/>
    </xf>
    <xf numFmtId="0" fontId="94" fillId="0" borderId="34" xfId="94" applyFont="1" applyBorder="1" applyAlignment="1">
      <alignment horizontal="center" vertical="center"/>
    </xf>
    <xf numFmtId="0" fontId="93" fillId="0" borderId="35" xfId="94" applyFont="1" applyBorder="1" applyAlignment="1">
      <alignment horizontal="center" vertical="center"/>
    </xf>
    <xf numFmtId="0" fontId="93" fillId="0" borderId="34" xfId="94" applyFont="1" applyBorder="1" applyAlignment="1">
      <alignment horizontal="center" vertical="center"/>
    </xf>
    <xf numFmtId="0" fontId="93" fillId="0" borderId="32" xfId="94" applyFont="1" applyBorder="1" applyAlignment="1">
      <alignment horizontal="center" vertical="center"/>
    </xf>
    <xf numFmtId="0" fontId="81" fillId="69" borderId="42" xfId="217" applyFont="1" applyFill="1" applyBorder="1" applyAlignment="1">
      <alignment horizontal="center" vertical="center" wrapText="1"/>
    </xf>
    <xf numFmtId="0" fontId="81" fillId="69" borderId="43" xfId="217" applyFont="1" applyFill="1" applyBorder="1" applyAlignment="1">
      <alignment horizontal="center" vertical="center" wrapText="1"/>
    </xf>
    <xf numFmtId="0" fontId="81" fillId="69" borderId="44" xfId="217" applyFont="1" applyFill="1" applyBorder="1" applyAlignment="1">
      <alignment horizontal="center" vertical="center" wrapText="1"/>
    </xf>
    <xf numFmtId="0" fontId="93" fillId="0" borderId="13" xfId="94" applyFont="1" applyBorder="1" applyAlignment="1">
      <alignment horizontal="center" vertical="center"/>
    </xf>
    <xf numFmtId="0" fontId="91" fillId="24" borderId="13" xfId="94" applyFont="1" applyFill="1" applyBorder="1" applyAlignment="1">
      <alignment horizontal="center" vertical="center" wrapText="1"/>
    </xf>
    <xf numFmtId="0" fontId="91" fillId="24" borderId="13" xfId="94" applyFont="1" applyFill="1" applyBorder="1" applyAlignment="1">
      <alignment horizontal="center" vertical="center"/>
    </xf>
    <xf numFmtId="0" fontId="91" fillId="24" borderId="53" xfId="94" applyFont="1" applyFill="1" applyBorder="1" applyAlignment="1">
      <alignment horizontal="center" vertical="center"/>
    </xf>
    <xf numFmtId="0" fontId="91" fillId="0" borderId="13" xfId="94" applyFont="1" applyBorder="1" applyAlignment="1">
      <alignment horizontal="center" vertical="center" wrapText="1"/>
    </xf>
    <xf numFmtId="0" fontId="91" fillId="0" borderId="13" xfId="94" applyFont="1" applyBorder="1" applyAlignment="1">
      <alignment horizontal="center" vertical="center"/>
    </xf>
    <xf numFmtId="0" fontId="91" fillId="0" borderId="53" xfId="94" applyFont="1" applyBorder="1" applyAlignment="1">
      <alignment horizontal="center" vertical="center"/>
    </xf>
    <xf numFmtId="0" fontId="91" fillId="24" borderId="32" xfId="94" applyFont="1" applyFill="1" applyBorder="1" applyAlignment="1">
      <alignment horizontal="center" vertical="center" wrapText="1"/>
    </xf>
    <xf numFmtId="0" fontId="91" fillId="24" borderId="35" xfId="94" applyFont="1" applyFill="1" applyBorder="1" applyAlignment="1">
      <alignment horizontal="center" vertical="center" wrapText="1"/>
    </xf>
    <xf numFmtId="0" fontId="91" fillId="24" borderId="34" xfId="94" applyFont="1" applyFill="1" applyBorder="1" applyAlignment="1">
      <alignment horizontal="center" vertical="center" wrapText="1"/>
    </xf>
    <xf numFmtId="0" fontId="91" fillId="24" borderId="51" xfId="94" applyFont="1" applyFill="1" applyBorder="1" applyAlignment="1">
      <alignment horizontal="center" vertical="center" wrapText="1"/>
    </xf>
    <xf numFmtId="0" fontId="86" fillId="24" borderId="36" xfId="94" applyFont="1" applyFill="1" applyBorder="1" applyAlignment="1">
      <alignment horizontal="center" vertical="center" wrapText="1"/>
    </xf>
    <xf numFmtId="0" fontId="86" fillId="24" borderId="36" xfId="94" applyFont="1" applyFill="1" applyBorder="1" applyAlignment="1">
      <alignment horizontal="center" vertical="center"/>
    </xf>
    <xf numFmtId="0" fontId="91" fillId="24" borderId="46" xfId="94" applyFont="1" applyFill="1" applyBorder="1" applyAlignment="1">
      <alignment horizontal="center" vertical="center" textRotation="90" wrapText="1"/>
    </xf>
    <xf numFmtId="0" fontId="91" fillId="24" borderId="48" xfId="94" applyFont="1" applyFill="1" applyBorder="1" applyAlignment="1">
      <alignment horizontal="center" vertical="center" textRotation="90" wrapText="1"/>
    </xf>
    <xf numFmtId="0" fontId="91" fillId="24" borderId="50" xfId="94" applyFont="1" applyFill="1" applyBorder="1" applyAlignment="1">
      <alignment horizontal="center" vertical="center" textRotation="90" wrapText="1"/>
    </xf>
    <xf numFmtId="0" fontId="91" fillId="24" borderId="32" xfId="94" applyFont="1" applyFill="1" applyBorder="1" applyAlignment="1">
      <alignment horizontal="center" vertical="center" textRotation="90" wrapText="1"/>
    </xf>
    <xf numFmtId="0" fontId="91" fillId="24" borderId="35" xfId="94" applyFont="1" applyFill="1" applyBorder="1" applyAlignment="1">
      <alignment horizontal="center" vertical="center" textRotation="90" wrapText="1"/>
    </xf>
    <xf numFmtId="0" fontId="91" fillId="24" borderId="51" xfId="94" applyFont="1" applyFill="1" applyBorder="1" applyAlignment="1">
      <alignment horizontal="center" vertical="center" textRotation="90" wrapText="1"/>
    </xf>
    <xf numFmtId="0" fontId="91" fillId="24" borderId="47" xfId="94" applyFont="1" applyFill="1" applyBorder="1" applyAlignment="1">
      <alignment horizontal="center" vertical="center" wrapText="1"/>
    </xf>
    <xf numFmtId="0" fontId="91" fillId="24" borderId="49" xfId="94" applyFont="1" applyFill="1" applyBorder="1" applyAlignment="1">
      <alignment horizontal="center" vertical="center" wrapText="1"/>
    </xf>
    <xf numFmtId="0" fontId="91" fillId="24" borderId="52" xfId="94" applyFont="1" applyFill="1" applyBorder="1" applyAlignment="1">
      <alignment horizontal="center" vertical="center" wrapText="1"/>
    </xf>
    <xf numFmtId="0" fontId="81" fillId="24" borderId="36" xfId="217" applyFont="1" applyFill="1" applyBorder="1" applyAlignment="1">
      <alignment horizontal="center" vertical="center"/>
    </xf>
  </cellXfs>
  <cellStyles count="530">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20% - Akzent1" xfId="107" xr:uid="{00000000-0005-0000-0000-000006000000}"/>
    <cellStyle name="20% - Akzent2" xfId="108" xr:uid="{00000000-0005-0000-0000-000007000000}"/>
    <cellStyle name="20% - Akzent3" xfId="109" xr:uid="{00000000-0005-0000-0000-000008000000}"/>
    <cellStyle name="20% - Akzent4" xfId="110" xr:uid="{00000000-0005-0000-0000-000009000000}"/>
    <cellStyle name="20% - Akzent5" xfId="111" xr:uid="{00000000-0005-0000-0000-00000A000000}"/>
    <cellStyle name="20% - Akzent6" xfId="112" xr:uid="{00000000-0005-0000-0000-00000B000000}"/>
    <cellStyle name="20% - 강조색1 2" xfId="113" xr:uid="{00000000-0005-0000-0000-00000C000000}"/>
    <cellStyle name="20% - 강조색2 2" xfId="114" xr:uid="{00000000-0005-0000-0000-00000D000000}"/>
    <cellStyle name="20% - 강조색3 2" xfId="115" xr:uid="{00000000-0005-0000-0000-00000E000000}"/>
    <cellStyle name="20% - 강조색4 2" xfId="116" xr:uid="{00000000-0005-0000-0000-00000F000000}"/>
    <cellStyle name="20% - 강조색5 2" xfId="117" xr:uid="{00000000-0005-0000-0000-000010000000}"/>
    <cellStyle name="20% - 강조색6 2" xfId="118" xr:uid="{00000000-0005-0000-0000-000011000000}"/>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40% - Akzent1" xfId="119" xr:uid="{00000000-0005-0000-0000-000018000000}"/>
    <cellStyle name="40% - Akzent2" xfId="120" xr:uid="{00000000-0005-0000-0000-000019000000}"/>
    <cellStyle name="40% - Akzent3" xfId="121" xr:uid="{00000000-0005-0000-0000-00001A000000}"/>
    <cellStyle name="40% - Akzent4" xfId="122" xr:uid="{00000000-0005-0000-0000-00001B000000}"/>
    <cellStyle name="40% - Akzent5" xfId="123" xr:uid="{00000000-0005-0000-0000-00001C000000}"/>
    <cellStyle name="40% - Akzent6" xfId="124" xr:uid="{00000000-0005-0000-0000-00001D000000}"/>
    <cellStyle name="40% - 강조색1 2" xfId="125" xr:uid="{00000000-0005-0000-0000-00001E000000}"/>
    <cellStyle name="40% - 강조색2 2" xfId="126" xr:uid="{00000000-0005-0000-0000-00001F000000}"/>
    <cellStyle name="40% - 강조색3 2" xfId="127" xr:uid="{00000000-0005-0000-0000-000020000000}"/>
    <cellStyle name="40% - 강조색4 2" xfId="128" xr:uid="{00000000-0005-0000-0000-000021000000}"/>
    <cellStyle name="40% - 강조색5 2" xfId="129" xr:uid="{00000000-0005-0000-0000-000022000000}"/>
    <cellStyle name="40% - 강조색6 2" xfId="130" xr:uid="{00000000-0005-0000-0000-000023000000}"/>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60% - Akzent1" xfId="131" xr:uid="{00000000-0005-0000-0000-00002A000000}"/>
    <cellStyle name="60% - Akzent2" xfId="132" xr:uid="{00000000-0005-0000-0000-00002B000000}"/>
    <cellStyle name="60% - Akzent3" xfId="133" xr:uid="{00000000-0005-0000-0000-00002C000000}"/>
    <cellStyle name="60% - Akzent4" xfId="134" xr:uid="{00000000-0005-0000-0000-00002D000000}"/>
    <cellStyle name="60% - Akzent5" xfId="135" xr:uid="{00000000-0005-0000-0000-00002E000000}"/>
    <cellStyle name="60% - Akzent6" xfId="136" xr:uid="{00000000-0005-0000-0000-00002F000000}"/>
    <cellStyle name="60% - 강조색1 2" xfId="137" xr:uid="{00000000-0005-0000-0000-000030000000}"/>
    <cellStyle name="60% - 강조색2 2" xfId="138" xr:uid="{00000000-0005-0000-0000-000031000000}"/>
    <cellStyle name="60% - 강조색3 2" xfId="139" xr:uid="{00000000-0005-0000-0000-000032000000}"/>
    <cellStyle name="60% - 강조색4 2" xfId="140" xr:uid="{00000000-0005-0000-0000-000033000000}"/>
    <cellStyle name="60% - 강조색5 2" xfId="141" xr:uid="{00000000-0005-0000-0000-000034000000}"/>
    <cellStyle name="60% - 강조색6 2" xfId="142" xr:uid="{00000000-0005-0000-0000-000035000000}"/>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ÅëÈ­ [0]_A" xfId="143" xr:uid="{00000000-0005-0000-0000-00003C000000}"/>
    <cellStyle name="ÅëÈ­_A" xfId="144" xr:uid="{00000000-0005-0000-0000-00003D000000}"/>
    <cellStyle name="Akzent1" xfId="145" xr:uid="{00000000-0005-0000-0000-00003E000000}"/>
    <cellStyle name="Akzent2" xfId="146" xr:uid="{00000000-0005-0000-0000-00003F000000}"/>
    <cellStyle name="Akzent3" xfId="147" xr:uid="{00000000-0005-0000-0000-000040000000}"/>
    <cellStyle name="Akzent4" xfId="148" xr:uid="{00000000-0005-0000-0000-000041000000}"/>
    <cellStyle name="Akzent5" xfId="149" xr:uid="{00000000-0005-0000-0000-000042000000}"/>
    <cellStyle name="Akzent6" xfId="150" xr:uid="{00000000-0005-0000-0000-000043000000}"/>
    <cellStyle name="ÄÞ¸¶ [0]_A" xfId="151" xr:uid="{00000000-0005-0000-0000-000044000000}"/>
    <cellStyle name="ÄÞ¸¶_A" xfId="152" xr:uid="{00000000-0005-0000-0000-000045000000}"/>
    <cellStyle name="Ausgabe" xfId="153" xr:uid="{00000000-0005-0000-0000-000046000000}"/>
    <cellStyle name="Bad" xfId="25" builtinId="27" customBuiltin="1"/>
    <cellStyle name="Berechnung" xfId="154" xr:uid="{00000000-0005-0000-0000-000048000000}"/>
    <cellStyle name="Ç¥ÁØ_A" xfId="155" xr:uid="{00000000-0005-0000-0000-000049000000}"/>
    <cellStyle name="Calculated" xfId="156" xr:uid="{00000000-0005-0000-0000-00004A000000}"/>
    <cellStyle name="Calculation" xfId="26" builtinId="22" customBuiltin="1"/>
    <cellStyle name="Calculation 2" xfId="157" xr:uid="{00000000-0005-0000-0000-00004C000000}"/>
    <cellStyle name="Calculation 2 2" xfId="158" xr:uid="{00000000-0005-0000-0000-00004D000000}"/>
    <cellStyle name="Calculation 3" xfId="159" xr:uid="{00000000-0005-0000-0000-00004E000000}"/>
    <cellStyle name="CASAOrUser" xfId="160" xr:uid="{00000000-0005-0000-0000-00004F000000}"/>
    <cellStyle name="Check Cell" xfId="27" builtinId="23" customBuiltin="1"/>
    <cellStyle name="Comma  - Style1" xfId="28" xr:uid="{00000000-0005-0000-0000-000051000000}"/>
    <cellStyle name="Comma  - Style2" xfId="29" xr:uid="{00000000-0005-0000-0000-000052000000}"/>
    <cellStyle name="Comma  - Style3" xfId="30" xr:uid="{00000000-0005-0000-0000-000053000000}"/>
    <cellStyle name="Comma  - Style4" xfId="31" xr:uid="{00000000-0005-0000-0000-000054000000}"/>
    <cellStyle name="Comma  - Style5" xfId="32" xr:uid="{00000000-0005-0000-0000-000055000000}"/>
    <cellStyle name="Comma  - Style6" xfId="33" xr:uid="{00000000-0005-0000-0000-000056000000}"/>
    <cellStyle name="Comma  - Style7" xfId="34" xr:uid="{00000000-0005-0000-0000-000057000000}"/>
    <cellStyle name="Comma  - Style8" xfId="35" xr:uid="{00000000-0005-0000-0000-000058000000}"/>
    <cellStyle name="Comma 2" xfId="59" xr:uid="{00000000-0005-0000-0000-000059000000}"/>
    <cellStyle name="Comma 2 2" xfId="60" xr:uid="{00000000-0005-0000-0000-00005A000000}"/>
    <cellStyle name="Comma 2 2 2" xfId="76" xr:uid="{00000000-0005-0000-0000-00005B000000}"/>
    <cellStyle name="Comma 2 3" xfId="77" xr:uid="{00000000-0005-0000-0000-00005C000000}"/>
    <cellStyle name="Comma 3" xfId="61" xr:uid="{00000000-0005-0000-0000-00005D000000}"/>
    <cellStyle name="Comma 4" xfId="78" xr:uid="{00000000-0005-0000-0000-00005E000000}"/>
    <cellStyle name="Comma 4 2" xfId="79" xr:uid="{00000000-0005-0000-0000-00005F000000}"/>
    <cellStyle name="Comma 4 2 2" xfId="90" xr:uid="{00000000-0005-0000-0000-000060000000}"/>
    <cellStyle name="Comma 4 3" xfId="91" xr:uid="{00000000-0005-0000-0000-000061000000}"/>
    <cellStyle name="Comma 4 4" xfId="524" xr:uid="{C1032858-C1C6-4BBB-B51F-6E27CEA80AB9}"/>
    <cellStyle name="Comma 5" xfId="80" xr:uid="{00000000-0005-0000-0000-000062000000}"/>
    <cellStyle name="Comma0" xfId="161" xr:uid="{00000000-0005-0000-0000-000063000000}"/>
    <cellStyle name="Currency 2" xfId="62" xr:uid="{00000000-0005-0000-0000-000065000000}"/>
    <cellStyle name="Currency 2 2" xfId="63" xr:uid="{00000000-0005-0000-0000-000066000000}"/>
    <cellStyle name="Currency 2 2 2" xfId="64" xr:uid="{00000000-0005-0000-0000-000067000000}"/>
    <cellStyle name="Currency 2 2 2 2" xfId="65" xr:uid="{00000000-0005-0000-0000-000068000000}"/>
    <cellStyle name="Currency 2 2 2 3" xfId="522" xr:uid="{91DF806A-E506-4185-A40B-3FE5BAF6B036}"/>
    <cellStyle name="Currency 2 3" xfId="66" xr:uid="{00000000-0005-0000-0000-000069000000}"/>
    <cellStyle name="Currency 2 4" xfId="89" xr:uid="{00000000-0005-0000-0000-00006A000000}"/>
    <cellStyle name="Currency 2 4 3" xfId="528" xr:uid="{5BB73B1D-DBD8-4E66-9E36-0920D7E0E526}"/>
    <cellStyle name="Currency 3" xfId="58" xr:uid="{00000000-0005-0000-0000-00006B000000}"/>
    <cellStyle name="Currency 3 2" xfId="88" xr:uid="{00000000-0005-0000-0000-00006C000000}"/>
    <cellStyle name="Currency 4" xfId="67" xr:uid="{00000000-0005-0000-0000-00006D000000}"/>
    <cellStyle name="Currency 5" xfId="162" xr:uid="{00000000-0005-0000-0000-00006E000000}"/>
    <cellStyle name="Currency 6" xfId="163" xr:uid="{00000000-0005-0000-0000-00006F000000}"/>
    <cellStyle name="Currency0" xfId="164" xr:uid="{00000000-0005-0000-0000-000070000000}"/>
    <cellStyle name="Currency0 2" xfId="165" xr:uid="{00000000-0005-0000-0000-000071000000}"/>
    <cellStyle name="Data Sheet" xfId="166" xr:uid="{00000000-0005-0000-0000-000072000000}"/>
    <cellStyle name="DataExport" xfId="167" xr:uid="{00000000-0005-0000-0000-000073000000}"/>
    <cellStyle name="Date" xfId="168" xr:uid="{00000000-0005-0000-0000-000074000000}"/>
    <cellStyle name="Date 2" xfId="169" xr:uid="{00000000-0005-0000-0000-000075000000}"/>
    <cellStyle name="Date 3" xfId="170" xr:uid="{00000000-0005-0000-0000-000076000000}"/>
    <cellStyle name="Dezimal [0]_00 P-105A,B" xfId="171" xr:uid="{00000000-0005-0000-0000-000077000000}"/>
    <cellStyle name="Dezimal_00 P-105A,B" xfId="172" xr:uid="{00000000-0005-0000-0000-000078000000}"/>
    <cellStyle name="Eingabe" xfId="173" xr:uid="{00000000-0005-0000-0000-000079000000}"/>
    <cellStyle name="Ergebnis" xfId="174" xr:uid="{00000000-0005-0000-0000-00007A000000}"/>
    <cellStyle name="Erklärender Text" xfId="175" xr:uid="{00000000-0005-0000-0000-00007B000000}"/>
    <cellStyle name="Explanatory Text" xfId="36" builtinId="53" customBuiltin="1"/>
    <cellStyle name="F2" xfId="176" xr:uid="{00000000-0005-0000-0000-00007D000000}"/>
    <cellStyle name="F3" xfId="177" xr:uid="{00000000-0005-0000-0000-00007E000000}"/>
    <cellStyle name="F4" xfId="178" xr:uid="{00000000-0005-0000-0000-00007F000000}"/>
    <cellStyle name="F5" xfId="179" xr:uid="{00000000-0005-0000-0000-000080000000}"/>
    <cellStyle name="F6" xfId="180" xr:uid="{00000000-0005-0000-0000-000081000000}"/>
    <cellStyle name="F7" xfId="181" xr:uid="{00000000-0005-0000-0000-000082000000}"/>
    <cellStyle name="F8" xfId="182" xr:uid="{00000000-0005-0000-0000-000083000000}"/>
    <cellStyle name="Fixed" xfId="183" xr:uid="{00000000-0005-0000-0000-000084000000}"/>
    <cellStyle name="Fixed 2" xfId="184" xr:uid="{00000000-0005-0000-0000-000085000000}"/>
    <cellStyle name="Fixed 3" xfId="185" xr:uid="{00000000-0005-0000-0000-000086000000}"/>
    <cellStyle name="FORM" xfId="186" xr:uid="{00000000-0005-0000-0000-000087000000}"/>
    <cellStyle name="FORM 2" xfId="187" xr:uid="{00000000-0005-0000-0000-000088000000}"/>
    <cellStyle name="FORM_1 COL M-XXXXM" xfId="188" xr:uid="{00000000-0005-0000-0000-000089000000}"/>
    <cellStyle name="Good" xfId="37" builtinId="26" customBuiltin="1"/>
    <cellStyle name="Grey" xfId="189" xr:uid="{00000000-0005-0000-0000-00008B000000}"/>
    <cellStyle name="Gut" xfId="190" xr:uid="{00000000-0005-0000-0000-00008C000000}"/>
    <cellStyle name="Header1" xfId="38" xr:uid="{00000000-0005-0000-0000-00008D000000}"/>
    <cellStyle name="Header2" xfId="39" xr:uid="{00000000-0005-0000-0000-00008E000000}"/>
    <cellStyle name="Header2 2" xfId="191" xr:uid="{00000000-0005-0000-0000-00008F000000}"/>
    <cellStyle name="Header2 2 2" xfId="192" xr:uid="{00000000-0005-0000-0000-000090000000}"/>
    <cellStyle name="Header2 3" xfId="193" xr:uid="{00000000-0005-0000-0000-000091000000}"/>
    <cellStyle name="Heading 1" xfId="40" builtinId="16" customBuiltin="1"/>
    <cellStyle name="Heading 1 2" xfId="194" xr:uid="{00000000-0005-0000-0000-000093000000}"/>
    <cellStyle name="Heading 1 3" xfId="195" xr:uid="{00000000-0005-0000-0000-000094000000}"/>
    <cellStyle name="Heading 2" xfId="41" builtinId="17" customBuiltin="1"/>
    <cellStyle name="Heading 2 2" xfId="196" xr:uid="{00000000-0005-0000-0000-000096000000}"/>
    <cellStyle name="Heading 2 3" xfId="197" xr:uid="{00000000-0005-0000-0000-000097000000}"/>
    <cellStyle name="Heading 3" xfId="42" builtinId="18" customBuiltin="1"/>
    <cellStyle name="Heading 4" xfId="43" builtinId="19" customBuiltin="1"/>
    <cellStyle name="Heading1" xfId="198" xr:uid="{00000000-0005-0000-0000-00009A000000}"/>
    <cellStyle name="Heading1 2" xfId="199" xr:uid="{00000000-0005-0000-0000-00009B000000}"/>
    <cellStyle name="HEADING1 3" xfId="200" xr:uid="{00000000-0005-0000-0000-00009C000000}"/>
    <cellStyle name="Heading2" xfId="201" xr:uid="{00000000-0005-0000-0000-00009D000000}"/>
    <cellStyle name="Heading2 2" xfId="202" xr:uid="{00000000-0005-0000-0000-00009E000000}"/>
    <cellStyle name="HEADING2 3" xfId="203" xr:uid="{00000000-0005-0000-0000-00009F000000}"/>
    <cellStyle name="Hyperlink 2" xfId="68" xr:uid="{00000000-0005-0000-0000-0000A0000000}"/>
    <cellStyle name="Hyperlink 2 2" xfId="81" xr:uid="{00000000-0005-0000-0000-0000A1000000}"/>
    <cellStyle name="Hyperlink 3" xfId="82" xr:uid="{00000000-0005-0000-0000-0000A2000000}"/>
    <cellStyle name="Input" xfId="44" builtinId="20" customBuiltin="1"/>
    <cellStyle name="Input [yellow]" xfId="204" xr:uid="{00000000-0005-0000-0000-0000A4000000}"/>
    <cellStyle name="Input [yellow] 2" xfId="205" xr:uid="{00000000-0005-0000-0000-0000A5000000}"/>
    <cellStyle name="Input [yellow] 2 2" xfId="206" xr:uid="{00000000-0005-0000-0000-0000A6000000}"/>
    <cellStyle name="Input 2" xfId="207" xr:uid="{00000000-0005-0000-0000-0000A7000000}"/>
    <cellStyle name="Input 2 2" xfId="208" xr:uid="{00000000-0005-0000-0000-0000A8000000}"/>
    <cellStyle name="Input 3" xfId="209" xr:uid="{00000000-0005-0000-0000-0000A9000000}"/>
    <cellStyle name="Input 3 2" xfId="210" xr:uid="{00000000-0005-0000-0000-0000AA000000}"/>
    <cellStyle name="Input 4" xfId="211" xr:uid="{00000000-0005-0000-0000-0000AB000000}"/>
    <cellStyle name="IoReport" xfId="45" xr:uid="{00000000-0005-0000-0000-0000AC000000}"/>
    <cellStyle name="Linked Cell" xfId="46" builtinId="24" customBuiltin="1"/>
    <cellStyle name="Migliaia (0)_A3_XLS" xfId="212" xr:uid="{00000000-0005-0000-0000-0000AE000000}"/>
    <cellStyle name="Migliaia_A3_XLS" xfId="213" xr:uid="{00000000-0005-0000-0000-0000AF000000}"/>
    <cellStyle name="Moeda [0]_PLDT" xfId="214" xr:uid="{00000000-0005-0000-0000-0000B0000000}"/>
    <cellStyle name="Moeda_PLDT" xfId="215" xr:uid="{00000000-0005-0000-0000-0000B1000000}"/>
    <cellStyle name="Neutral" xfId="47" builtinId="28" customBuiltin="1"/>
    <cellStyle name="no dec" xfId="48" xr:uid="{00000000-0005-0000-0000-0000B3000000}"/>
    <cellStyle name="no dec 2" xfId="520" xr:uid="{00000000-0005-0000-0000-0000B4000000}"/>
    <cellStyle name="Normal" xfId="0" builtinId="0"/>
    <cellStyle name="Normal - Style1" xfId="49" xr:uid="{00000000-0005-0000-0000-0000B6000000}"/>
    <cellStyle name="Normal - Style1 2" xfId="216" xr:uid="{00000000-0005-0000-0000-0000B7000000}"/>
    <cellStyle name="Normal 10" xfId="105" xr:uid="{00000000-0005-0000-0000-0000B8000000}"/>
    <cellStyle name="Normal 100" xfId="519" xr:uid="{00000000-0005-0000-0000-0000B9000000}"/>
    <cellStyle name="Normal 11" xfId="92" xr:uid="{00000000-0005-0000-0000-0000BA000000}"/>
    <cellStyle name="Normal 11 2" xfId="93" xr:uid="{00000000-0005-0000-0000-0000BB000000}"/>
    <cellStyle name="Normal 12" xfId="217" xr:uid="{00000000-0005-0000-0000-0000BC000000}"/>
    <cellStyle name="Normal 13" xfId="218" xr:uid="{00000000-0005-0000-0000-0000BD000000}"/>
    <cellStyle name="Normal 14" xfId="219" xr:uid="{00000000-0005-0000-0000-0000BE000000}"/>
    <cellStyle name="Normal 15" xfId="220" xr:uid="{00000000-0005-0000-0000-0000BF000000}"/>
    <cellStyle name="Normal 16" xfId="221" xr:uid="{00000000-0005-0000-0000-0000C0000000}"/>
    <cellStyle name="Normal 17" xfId="222" xr:uid="{00000000-0005-0000-0000-0000C1000000}"/>
    <cellStyle name="Normal 18" xfId="223" xr:uid="{00000000-0005-0000-0000-0000C2000000}"/>
    <cellStyle name="Normal 19" xfId="224" xr:uid="{00000000-0005-0000-0000-0000C3000000}"/>
    <cellStyle name="Normal 2" xfId="55" xr:uid="{00000000-0005-0000-0000-0000C4000000}"/>
    <cellStyle name="Normal 2 2" xfId="69" xr:uid="{00000000-0005-0000-0000-0000C5000000}"/>
    <cellStyle name="Normal 2 2 2" xfId="56" xr:uid="{00000000-0005-0000-0000-0000C6000000}"/>
    <cellStyle name="Normal 2 2 2 2" xfId="94" xr:uid="{00000000-0005-0000-0000-0000C7000000}"/>
    <cellStyle name="Normal 2 3" xfId="83" xr:uid="{00000000-0005-0000-0000-0000C8000000}"/>
    <cellStyle name="Normal 2 4" xfId="106" xr:uid="{00000000-0005-0000-0000-0000C9000000}"/>
    <cellStyle name="Normal 2 5" xfId="517" xr:uid="{00000000-0005-0000-0000-0000CA000000}"/>
    <cellStyle name="Normal 20" xfId="225" xr:uid="{00000000-0005-0000-0000-0000CB000000}"/>
    <cellStyle name="Normal 21" xfId="226" xr:uid="{00000000-0005-0000-0000-0000CC000000}"/>
    <cellStyle name="Normal 22" xfId="227" xr:uid="{00000000-0005-0000-0000-0000CD000000}"/>
    <cellStyle name="Normal 23" xfId="228" xr:uid="{00000000-0005-0000-0000-0000CE000000}"/>
    <cellStyle name="Normal 24" xfId="229" xr:uid="{00000000-0005-0000-0000-0000CF000000}"/>
    <cellStyle name="Normal 25" xfId="230" xr:uid="{00000000-0005-0000-0000-0000D0000000}"/>
    <cellStyle name="Normal 26" xfId="231" xr:uid="{00000000-0005-0000-0000-0000D1000000}"/>
    <cellStyle name="Normal 27" xfId="232" xr:uid="{00000000-0005-0000-0000-0000D2000000}"/>
    <cellStyle name="Normal 28" xfId="233" xr:uid="{00000000-0005-0000-0000-0000D3000000}"/>
    <cellStyle name="Normal 29" xfId="234" xr:uid="{00000000-0005-0000-0000-0000D4000000}"/>
    <cellStyle name="Normal 3" xfId="70" xr:uid="{00000000-0005-0000-0000-0000D5000000}"/>
    <cellStyle name="Normal 3 2" xfId="71" xr:uid="{00000000-0005-0000-0000-0000D6000000}"/>
    <cellStyle name="Normal 3 2 2" xfId="521" xr:uid="{00000000-0005-0000-0000-0000D7000000}"/>
    <cellStyle name="Normal 3 2 2 2 2 2" xfId="526" xr:uid="{F316D3D9-84F9-4C5A-A719-C2598CD221B5}"/>
    <cellStyle name="Normal 30" xfId="235" xr:uid="{00000000-0005-0000-0000-0000D8000000}"/>
    <cellStyle name="Normal 31" xfId="236" xr:uid="{00000000-0005-0000-0000-0000D9000000}"/>
    <cellStyle name="Normal 32" xfId="518" xr:uid="{00000000-0005-0000-0000-0000DA000000}"/>
    <cellStyle name="Normal 33" xfId="525" xr:uid="{7D34082F-7529-4A02-98F2-4F9D73B8ACE9}"/>
    <cellStyle name="Normal 4" xfId="84" xr:uid="{00000000-0005-0000-0000-0000DB000000}"/>
    <cellStyle name="Normal 4 2" xfId="95" xr:uid="{00000000-0005-0000-0000-0000DC000000}"/>
    <cellStyle name="Normal 5" xfId="85" xr:uid="{00000000-0005-0000-0000-0000DD000000}"/>
    <cellStyle name="Normal 5 2" xfId="96" xr:uid="{00000000-0005-0000-0000-0000DE000000}"/>
    <cellStyle name="Normal 6" xfId="97" xr:uid="{00000000-0005-0000-0000-0000DF000000}"/>
    <cellStyle name="Normal 6 2" xfId="98" xr:uid="{00000000-0005-0000-0000-0000E0000000}"/>
    <cellStyle name="Normal 7" xfId="99" xr:uid="{00000000-0005-0000-0000-0000E1000000}"/>
    <cellStyle name="Normal 8" xfId="100" xr:uid="{00000000-0005-0000-0000-0000E2000000}"/>
    <cellStyle name="Normal 9" xfId="101" xr:uid="{00000000-0005-0000-0000-0000E3000000}"/>
    <cellStyle name="Normale_61680" xfId="237" xr:uid="{00000000-0005-0000-0000-0000E4000000}"/>
    <cellStyle name="Note" xfId="50" builtinId="10" customBuiltin="1"/>
    <cellStyle name="Note 2" xfId="238" xr:uid="{00000000-0005-0000-0000-0000E6000000}"/>
    <cellStyle name="Note 2 2" xfId="239" xr:uid="{00000000-0005-0000-0000-0000E7000000}"/>
    <cellStyle name="Notiz" xfId="240" xr:uid="{00000000-0005-0000-0000-0000E8000000}"/>
    <cellStyle name="oft Excel]_x000d__x000a_User=u639651_x000d__x000a_DefaultPath=Q:\_x000d__x000a_CBTLOCATION=W:\EXCEL50\EXCELCBT_x000d__x000a_Options3=0_x000d__x000a_Options5=3259_x000d__x000a_Options=87_x000d__x000a_" xfId="241" xr:uid="{00000000-0005-0000-0000-0000E9000000}"/>
    <cellStyle name="Output" xfId="51" builtinId="21" customBuiltin="1"/>
    <cellStyle name="Output 2" xfId="242" xr:uid="{00000000-0005-0000-0000-0000EB000000}"/>
    <cellStyle name="Output 2 2" xfId="243" xr:uid="{00000000-0005-0000-0000-0000EC000000}"/>
    <cellStyle name="Output 3" xfId="244" xr:uid="{00000000-0005-0000-0000-0000ED000000}"/>
    <cellStyle name="Percent" xfId="529" builtinId="5"/>
    <cellStyle name="Percent [2]" xfId="245" xr:uid="{00000000-0005-0000-0000-0000EF000000}"/>
    <cellStyle name="Percent 2" xfId="57" xr:uid="{00000000-0005-0000-0000-0000F0000000}"/>
    <cellStyle name="Percent 2 2" xfId="72" xr:uid="{00000000-0005-0000-0000-0000F1000000}"/>
    <cellStyle name="Percent 2 2 2" xfId="73" xr:uid="{00000000-0005-0000-0000-0000F2000000}"/>
    <cellStyle name="Percent 2 2 2 2" xfId="74" xr:uid="{00000000-0005-0000-0000-0000F3000000}"/>
    <cellStyle name="Percent 2 2 2 3" xfId="523" xr:uid="{6CF66CA2-E323-4659-A60D-A247C2C171CB}"/>
    <cellStyle name="Percent 2 2 3" xfId="527" xr:uid="{960D2795-E225-4E97-8891-D317DED70FA5}"/>
    <cellStyle name="Percent 2 3" xfId="86" xr:uid="{00000000-0005-0000-0000-0000F4000000}"/>
    <cellStyle name="Percent 3" xfId="75" xr:uid="{00000000-0005-0000-0000-0000F5000000}"/>
    <cellStyle name="Percent 4" xfId="87" xr:uid="{00000000-0005-0000-0000-0000F6000000}"/>
    <cellStyle name="Percent 5" xfId="102" xr:uid="{00000000-0005-0000-0000-0000F7000000}"/>
    <cellStyle name="Percent 5 2" xfId="103" xr:uid="{00000000-0005-0000-0000-0000F8000000}"/>
    <cellStyle name="pmxBorderCellsS" xfId="246" xr:uid="{00000000-0005-0000-0000-0000F9000000}"/>
    <cellStyle name="pmxCategoryHeadingB" xfId="247" xr:uid="{00000000-0005-0000-0000-0000FA000000}"/>
    <cellStyle name="pmxCategoryHeadingM" xfId="248" xr:uid="{00000000-0005-0000-0000-0000FB000000}"/>
    <cellStyle name="pmxHeadingB" xfId="249" xr:uid="{00000000-0005-0000-0000-0000FC000000}"/>
    <cellStyle name="pmxHeadingL" xfId="250" xr:uid="{00000000-0005-0000-0000-0000FD000000}"/>
    <cellStyle name="pmxHeadingM" xfId="251" xr:uid="{00000000-0005-0000-0000-0000FE000000}"/>
    <cellStyle name="pmxHeadingS" xfId="252" xr:uid="{00000000-0005-0000-0000-0000FF000000}"/>
    <cellStyle name="pmxMinorHeadingB" xfId="253" xr:uid="{00000000-0005-0000-0000-000000010000}"/>
    <cellStyle name="pmxMinorHeadingS" xfId="254" xr:uid="{00000000-0005-0000-0000-000001010000}"/>
    <cellStyle name="pmxSubHeadingB" xfId="255" xr:uid="{00000000-0005-0000-0000-000002010000}"/>
    <cellStyle name="pmxSubHeadingM" xfId="256" xr:uid="{00000000-0005-0000-0000-000003010000}"/>
    <cellStyle name="pmxSubSubHeadingB" xfId="257" xr:uid="{00000000-0005-0000-0000-000004010000}"/>
    <cellStyle name="pmxSubSubHeadingM" xfId="258" xr:uid="{00000000-0005-0000-0000-000005010000}"/>
    <cellStyle name="pmxSubSubHeadingS" xfId="259" xr:uid="{00000000-0005-0000-0000-000006010000}"/>
    <cellStyle name="Schlecht" xfId="260" xr:uid="{00000000-0005-0000-0000-000007010000}"/>
    <cellStyle name="Separador de milhares [0]_PLDT" xfId="261" xr:uid="{00000000-0005-0000-0000-000008010000}"/>
    <cellStyle name="Separador de milhares_PLDT" xfId="262" xr:uid="{00000000-0005-0000-0000-000009010000}"/>
    <cellStyle name="Standard_00 P-105A,B" xfId="263" xr:uid="{00000000-0005-0000-0000-00000A010000}"/>
    <cellStyle name="þ_x001d_ð" xfId="264" xr:uid="{00000000-0005-0000-0000-00000B010000}"/>
    <cellStyle name="Title" xfId="52" builtinId="15" customBuiltin="1"/>
    <cellStyle name="Total" xfId="53" builtinId="25" customBuiltin="1"/>
    <cellStyle name="Total 2" xfId="265" xr:uid="{00000000-0005-0000-0000-00000E010000}"/>
    <cellStyle name="Total 3" xfId="266" xr:uid="{00000000-0005-0000-0000-00000F010000}"/>
    <cellStyle name="Überschrift" xfId="267" xr:uid="{00000000-0005-0000-0000-000010010000}"/>
    <cellStyle name="Überschrift 1" xfId="268" xr:uid="{00000000-0005-0000-0000-000011010000}"/>
    <cellStyle name="Überschrift 2" xfId="269" xr:uid="{00000000-0005-0000-0000-000012010000}"/>
    <cellStyle name="Überschrift 3" xfId="270" xr:uid="{00000000-0005-0000-0000-000013010000}"/>
    <cellStyle name="Überschrift 4" xfId="271" xr:uid="{00000000-0005-0000-0000-000014010000}"/>
    <cellStyle name="UserOnly" xfId="272" xr:uid="{00000000-0005-0000-0000-000015010000}"/>
    <cellStyle name="UserOverride" xfId="273" xr:uid="{00000000-0005-0000-0000-000016010000}"/>
    <cellStyle name="Valuta (0)_A3_XLS" xfId="274" xr:uid="{00000000-0005-0000-0000-000017010000}"/>
    <cellStyle name="Valuta_A3_XLS" xfId="275" xr:uid="{00000000-0005-0000-0000-000018010000}"/>
    <cellStyle name="Verknüpfte Zelle" xfId="276" xr:uid="{00000000-0005-0000-0000-000019010000}"/>
    <cellStyle name="Währung [0]_00 P-105A,B" xfId="277" xr:uid="{00000000-0005-0000-0000-00001A010000}"/>
    <cellStyle name="Währung_00 P-105A,B" xfId="278" xr:uid="{00000000-0005-0000-0000-00001B010000}"/>
    <cellStyle name="Warnender Text" xfId="279" xr:uid="{00000000-0005-0000-0000-00001C010000}"/>
    <cellStyle name="Warning Text" xfId="54" builtinId="11" customBuiltin="1"/>
    <cellStyle name="Warnings" xfId="280" xr:uid="{00000000-0005-0000-0000-00001E010000}"/>
    <cellStyle name="Zelle überprüfen" xfId="281" xr:uid="{00000000-0005-0000-0000-00001F010000}"/>
    <cellStyle name="강조색1 2" xfId="282" xr:uid="{00000000-0005-0000-0000-000020010000}"/>
    <cellStyle name="강조색2 2" xfId="283" xr:uid="{00000000-0005-0000-0000-000021010000}"/>
    <cellStyle name="강조색3 2" xfId="284" xr:uid="{00000000-0005-0000-0000-000022010000}"/>
    <cellStyle name="강조색4 2" xfId="285" xr:uid="{00000000-0005-0000-0000-000023010000}"/>
    <cellStyle name="강조색5 2" xfId="286" xr:uid="{00000000-0005-0000-0000-000024010000}"/>
    <cellStyle name="강조색6 2" xfId="287" xr:uid="{00000000-0005-0000-0000-000025010000}"/>
    <cellStyle name="경고문 2" xfId="288" xr:uid="{00000000-0005-0000-0000-000026010000}"/>
    <cellStyle name="계산 2" xfId="289" xr:uid="{00000000-0005-0000-0000-000027010000}"/>
    <cellStyle name="고정소숫점" xfId="290" xr:uid="{00000000-0005-0000-0000-000028010000}"/>
    <cellStyle name="고정출력1" xfId="291" xr:uid="{00000000-0005-0000-0000-000029010000}"/>
    <cellStyle name="고정출력2" xfId="292" xr:uid="{00000000-0005-0000-0000-00002A010000}"/>
    <cellStyle name="나쁨 2" xfId="293" xr:uid="{00000000-0005-0000-0000-00002B010000}"/>
    <cellStyle name="날짜" xfId="294" xr:uid="{00000000-0005-0000-0000-00002C010000}"/>
    <cellStyle name="달러" xfId="295" xr:uid="{00000000-0005-0000-0000-00002D010000}"/>
    <cellStyle name="메모 2" xfId="296" xr:uid="{00000000-0005-0000-0000-00002E010000}"/>
    <cellStyle name="백분율 2" xfId="297" xr:uid="{00000000-0005-0000-0000-00002F010000}"/>
    <cellStyle name="보통 2" xfId="298" xr:uid="{00000000-0005-0000-0000-000030010000}"/>
    <cellStyle name="설명 텍스트 2" xfId="299" xr:uid="{00000000-0005-0000-0000-000031010000}"/>
    <cellStyle name="셀 확인 2" xfId="300" xr:uid="{00000000-0005-0000-0000-000032010000}"/>
    <cellStyle name="숫자(R)" xfId="301" xr:uid="{00000000-0005-0000-0000-000033010000}"/>
    <cellStyle name="쉼표 [0] 2" xfId="302" xr:uid="{00000000-0005-0000-0000-000034010000}"/>
    <cellStyle name="쉼표 [0] 3" xfId="303" xr:uid="{00000000-0005-0000-0000-000035010000}"/>
    <cellStyle name="쉼표 2" xfId="304" xr:uid="{00000000-0005-0000-0000-000036010000}"/>
    <cellStyle name="쉼표 3" xfId="305" xr:uid="{00000000-0005-0000-0000-000037010000}"/>
    <cellStyle name="스타일 1" xfId="306" xr:uid="{00000000-0005-0000-0000-000038010000}"/>
    <cellStyle name="연결된 셀 2" xfId="307" xr:uid="{00000000-0005-0000-0000-000039010000}"/>
    <cellStyle name="요약 2" xfId="308" xr:uid="{00000000-0005-0000-0000-00003A010000}"/>
    <cellStyle name="입력 2" xfId="309" xr:uid="{00000000-0005-0000-0000-00003B010000}"/>
    <cellStyle name="자리수" xfId="310" xr:uid="{00000000-0005-0000-0000-00003C010000}"/>
    <cellStyle name="자리수0" xfId="311" xr:uid="{00000000-0005-0000-0000-00003D010000}"/>
    <cellStyle name="제목 1 2" xfId="312" xr:uid="{00000000-0005-0000-0000-00003E010000}"/>
    <cellStyle name="제목 2 2" xfId="313" xr:uid="{00000000-0005-0000-0000-00003F010000}"/>
    <cellStyle name="제목 3 2" xfId="314" xr:uid="{00000000-0005-0000-0000-000040010000}"/>
    <cellStyle name="제목 4 2" xfId="315" xr:uid="{00000000-0005-0000-0000-000041010000}"/>
    <cellStyle name="제목 5" xfId="316" xr:uid="{00000000-0005-0000-0000-000042010000}"/>
    <cellStyle name="좋음 2" xfId="317" xr:uid="{00000000-0005-0000-0000-000043010000}"/>
    <cellStyle name="출력 2" xfId="318" xr:uid="{00000000-0005-0000-0000-000044010000}"/>
    <cellStyle name="콤마 [0]_(type)총괄" xfId="319" xr:uid="{00000000-0005-0000-0000-000045010000}"/>
    <cellStyle name="콤마_(type)총괄" xfId="320" xr:uid="{00000000-0005-0000-0000-000046010000}"/>
    <cellStyle name="통화 [0] 2" xfId="321" xr:uid="{00000000-0005-0000-0000-000047010000}"/>
    <cellStyle name="퍼센트" xfId="322" xr:uid="{00000000-0005-0000-0000-000048010000}"/>
    <cellStyle name="표준 10" xfId="323" xr:uid="{00000000-0005-0000-0000-000049010000}"/>
    <cellStyle name="표준 10 2" xfId="324" xr:uid="{00000000-0005-0000-0000-00004A010000}"/>
    <cellStyle name="표준 10 3" xfId="325" xr:uid="{00000000-0005-0000-0000-00004B010000}"/>
    <cellStyle name="표준 100" xfId="326" xr:uid="{00000000-0005-0000-0000-00004C010000}"/>
    <cellStyle name="표준 101" xfId="327" xr:uid="{00000000-0005-0000-0000-00004D010000}"/>
    <cellStyle name="표준 102" xfId="328" xr:uid="{00000000-0005-0000-0000-00004E010000}"/>
    <cellStyle name="표준 103" xfId="329" xr:uid="{00000000-0005-0000-0000-00004F010000}"/>
    <cellStyle name="표준 104" xfId="330" xr:uid="{00000000-0005-0000-0000-000050010000}"/>
    <cellStyle name="표준 105" xfId="331" xr:uid="{00000000-0005-0000-0000-000051010000}"/>
    <cellStyle name="표준 106" xfId="332" xr:uid="{00000000-0005-0000-0000-000052010000}"/>
    <cellStyle name="표준 107" xfId="333" xr:uid="{00000000-0005-0000-0000-000053010000}"/>
    <cellStyle name="표준 108" xfId="334" xr:uid="{00000000-0005-0000-0000-000054010000}"/>
    <cellStyle name="표준 109" xfId="335" xr:uid="{00000000-0005-0000-0000-000055010000}"/>
    <cellStyle name="표준 11" xfId="336" xr:uid="{00000000-0005-0000-0000-000056010000}"/>
    <cellStyle name="표준 11 2" xfId="337" xr:uid="{00000000-0005-0000-0000-000057010000}"/>
    <cellStyle name="표준 11 3" xfId="338" xr:uid="{00000000-0005-0000-0000-000058010000}"/>
    <cellStyle name="표준 110" xfId="339" xr:uid="{00000000-0005-0000-0000-000059010000}"/>
    <cellStyle name="표준 111" xfId="340" xr:uid="{00000000-0005-0000-0000-00005A010000}"/>
    <cellStyle name="표준 112" xfId="341" xr:uid="{00000000-0005-0000-0000-00005B010000}"/>
    <cellStyle name="표준 113" xfId="342" xr:uid="{00000000-0005-0000-0000-00005C010000}"/>
    <cellStyle name="표준 114" xfId="343" xr:uid="{00000000-0005-0000-0000-00005D010000}"/>
    <cellStyle name="표준 115" xfId="344" xr:uid="{00000000-0005-0000-0000-00005E010000}"/>
    <cellStyle name="표준 116" xfId="345" xr:uid="{00000000-0005-0000-0000-00005F010000}"/>
    <cellStyle name="표준 117" xfId="346" xr:uid="{00000000-0005-0000-0000-000060010000}"/>
    <cellStyle name="표준 118" xfId="347" xr:uid="{00000000-0005-0000-0000-000061010000}"/>
    <cellStyle name="표준 119" xfId="348" xr:uid="{00000000-0005-0000-0000-000062010000}"/>
    <cellStyle name="표준 12" xfId="349" xr:uid="{00000000-0005-0000-0000-000063010000}"/>
    <cellStyle name="표준 12 2" xfId="350" xr:uid="{00000000-0005-0000-0000-000064010000}"/>
    <cellStyle name="표준 12 3" xfId="351" xr:uid="{00000000-0005-0000-0000-000065010000}"/>
    <cellStyle name="표준 120" xfId="352" xr:uid="{00000000-0005-0000-0000-000066010000}"/>
    <cellStyle name="표준 121" xfId="353" xr:uid="{00000000-0005-0000-0000-000067010000}"/>
    <cellStyle name="표준 122" xfId="354" xr:uid="{00000000-0005-0000-0000-000068010000}"/>
    <cellStyle name="표준 123" xfId="355" xr:uid="{00000000-0005-0000-0000-000069010000}"/>
    <cellStyle name="표준 124" xfId="356" xr:uid="{00000000-0005-0000-0000-00006A010000}"/>
    <cellStyle name="표준 125" xfId="357" xr:uid="{00000000-0005-0000-0000-00006B010000}"/>
    <cellStyle name="표준 126" xfId="358" xr:uid="{00000000-0005-0000-0000-00006C010000}"/>
    <cellStyle name="표준 127" xfId="359" xr:uid="{00000000-0005-0000-0000-00006D010000}"/>
    <cellStyle name="표준 128" xfId="360" xr:uid="{00000000-0005-0000-0000-00006E010000}"/>
    <cellStyle name="표준 129" xfId="361" xr:uid="{00000000-0005-0000-0000-00006F010000}"/>
    <cellStyle name="표준 13" xfId="362" xr:uid="{00000000-0005-0000-0000-000070010000}"/>
    <cellStyle name="표준 13 2" xfId="363" xr:uid="{00000000-0005-0000-0000-000071010000}"/>
    <cellStyle name="표준 13 3" xfId="364" xr:uid="{00000000-0005-0000-0000-000072010000}"/>
    <cellStyle name="표준 130" xfId="365" xr:uid="{00000000-0005-0000-0000-000073010000}"/>
    <cellStyle name="표준 131" xfId="366" xr:uid="{00000000-0005-0000-0000-000074010000}"/>
    <cellStyle name="표준 132" xfId="367" xr:uid="{00000000-0005-0000-0000-000075010000}"/>
    <cellStyle name="표준 133" xfId="368" xr:uid="{00000000-0005-0000-0000-000076010000}"/>
    <cellStyle name="표준 134" xfId="369" xr:uid="{00000000-0005-0000-0000-000077010000}"/>
    <cellStyle name="표준 135" xfId="370" xr:uid="{00000000-0005-0000-0000-000078010000}"/>
    <cellStyle name="표준 136" xfId="371" xr:uid="{00000000-0005-0000-0000-000079010000}"/>
    <cellStyle name="표준 137" xfId="372" xr:uid="{00000000-0005-0000-0000-00007A010000}"/>
    <cellStyle name="표준 138" xfId="373" xr:uid="{00000000-0005-0000-0000-00007B010000}"/>
    <cellStyle name="표준 139" xfId="374" xr:uid="{00000000-0005-0000-0000-00007C010000}"/>
    <cellStyle name="표준 14" xfId="375" xr:uid="{00000000-0005-0000-0000-00007D010000}"/>
    <cellStyle name="표준 14 2" xfId="376" xr:uid="{00000000-0005-0000-0000-00007E010000}"/>
    <cellStyle name="표준 140" xfId="377" xr:uid="{00000000-0005-0000-0000-00007F010000}"/>
    <cellStyle name="표준 141" xfId="378" xr:uid="{00000000-0005-0000-0000-000080010000}"/>
    <cellStyle name="표준 142" xfId="379" xr:uid="{00000000-0005-0000-0000-000081010000}"/>
    <cellStyle name="표준 143" xfId="380" xr:uid="{00000000-0005-0000-0000-000082010000}"/>
    <cellStyle name="표준 144" xfId="381" xr:uid="{00000000-0005-0000-0000-000083010000}"/>
    <cellStyle name="표준 145" xfId="382" xr:uid="{00000000-0005-0000-0000-000084010000}"/>
    <cellStyle name="표준 146" xfId="383" xr:uid="{00000000-0005-0000-0000-000085010000}"/>
    <cellStyle name="표준 147" xfId="384" xr:uid="{00000000-0005-0000-0000-000086010000}"/>
    <cellStyle name="표준 148" xfId="385" xr:uid="{00000000-0005-0000-0000-000087010000}"/>
    <cellStyle name="표준 149" xfId="386" xr:uid="{00000000-0005-0000-0000-000088010000}"/>
    <cellStyle name="표준 15" xfId="387" xr:uid="{00000000-0005-0000-0000-000089010000}"/>
    <cellStyle name="표준 15 2" xfId="388" xr:uid="{00000000-0005-0000-0000-00008A010000}"/>
    <cellStyle name="표준 150" xfId="389" xr:uid="{00000000-0005-0000-0000-00008B010000}"/>
    <cellStyle name="표준 151" xfId="390" xr:uid="{00000000-0005-0000-0000-00008C010000}"/>
    <cellStyle name="표준 151 2" xfId="391" xr:uid="{00000000-0005-0000-0000-00008D010000}"/>
    <cellStyle name="표준 152" xfId="392" xr:uid="{00000000-0005-0000-0000-00008E010000}"/>
    <cellStyle name="표준 152 2" xfId="393" xr:uid="{00000000-0005-0000-0000-00008F010000}"/>
    <cellStyle name="표준 153" xfId="394" xr:uid="{00000000-0005-0000-0000-000090010000}"/>
    <cellStyle name="표준 153 2" xfId="395" xr:uid="{00000000-0005-0000-0000-000091010000}"/>
    <cellStyle name="표준 154" xfId="396" xr:uid="{00000000-0005-0000-0000-000092010000}"/>
    <cellStyle name="표준 154 2" xfId="397" xr:uid="{00000000-0005-0000-0000-000093010000}"/>
    <cellStyle name="표준 155" xfId="398" xr:uid="{00000000-0005-0000-0000-000094010000}"/>
    <cellStyle name="표준 16" xfId="399" xr:uid="{00000000-0005-0000-0000-000095010000}"/>
    <cellStyle name="표준 17" xfId="400" xr:uid="{00000000-0005-0000-0000-000096010000}"/>
    <cellStyle name="표준 18" xfId="401" xr:uid="{00000000-0005-0000-0000-000097010000}"/>
    <cellStyle name="표준 19" xfId="402" xr:uid="{00000000-0005-0000-0000-000098010000}"/>
    <cellStyle name="표준 2" xfId="403" xr:uid="{00000000-0005-0000-0000-000099010000}"/>
    <cellStyle name="표준 2 2" xfId="404" xr:uid="{00000000-0005-0000-0000-00009A010000}"/>
    <cellStyle name="표준 2 2 2" xfId="405" xr:uid="{00000000-0005-0000-0000-00009B010000}"/>
    <cellStyle name="표준 2 3" xfId="406" xr:uid="{00000000-0005-0000-0000-00009C010000}"/>
    <cellStyle name="표준 2 4" xfId="407" xr:uid="{00000000-0005-0000-0000-00009D010000}"/>
    <cellStyle name="표준 2 5" xfId="408" xr:uid="{00000000-0005-0000-0000-00009E010000}"/>
    <cellStyle name="표준 20" xfId="409" xr:uid="{00000000-0005-0000-0000-00009F010000}"/>
    <cellStyle name="표준 21" xfId="410" xr:uid="{00000000-0005-0000-0000-0000A0010000}"/>
    <cellStyle name="표준 22" xfId="411" xr:uid="{00000000-0005-0000-0000-0000A1010000}"/>
    <cellStyle name="표준 23" xfId="412" xr:uid="{00000000-0005-0000-0000-0000A2010000}"/>
    <cellStyle name="표준 24" xfId="413" xr:uid="{00000000-0005-0000-0000-0000A3010000}"/>
    <cellStyle name="표준 24 2" xfId="414" xr:uid="{00000000-0005-0000-0000-0000A4010000}"/>
    <cellStyle name="표준 25" xfId="415" xr:uid="{00000000-0005-0000-0000-0000A5010000}"/>
    <cellStyle name="표준 26" xfId="416" xr:uid="{00000000-0005-0000-0000-0000A6010000}"/>
    <cellStyle name="표준 27" xfId="417" xr:uid="{00000000-0005-0000-0000-0000A7010000}"/>
    <cellStyle name="표준 28" xfId="418" xr:uid="{00000000-0005-0000-0000-0000A8010000}"/>
    <cellStyle name="표준 29" xfId="419" xr:uid="{00000000-0005-0000-0000-0000A9010000}"/>
    <cellStyle name="표준 3" xfId="420" xr:uid="{00000000-0005-0000-0000-0000AA010000}"/>
    <cellStyle name="표준 3 2" xfId="421" xr:uid="{00000000-0005-0000-0000-0000AB010000}"/>
    <cellStyle name="표준 3 3" xfId="422" xr:uid="{00000000-0005-0000-0000-0000AC010000}"/>
    <cellStyle name="표준 3 4" xfId="423" xr:uid="{00000000-0005-0000-0000-0000AD010000}"/>
    <cellStyle name="표준 30" xfId="424" xr:uid="{00000000-0005-0000-0000-0000AE010000}"/>
    <cellStyle name="표준 31" xfId="425" xr:uid="{00000000-0005-0000-0000-0000AF010000}"/>
    <cellStyle name="표준 32" xfId="426" xr:uid="{00000000-0005-0000-0000-0000B0010000}"/>
    <cellStyle name="표준 33" xfId="427" xr:uid="{00000000-0005-0000-0000-0000B1010000}"/>
    <cellStyle name="표준 34" xfId="428" xr:uid="{00000000-0005-0000-0000-0000B2010000}"/>
    <cellStyle name="표준 35" xfId="429" xr:uid="{00000000-0005-0000-0000-0000B3010000}"/>
    <cellStyle name="표준 36" xfId="430" xr:uid="{00000000-0005-0000-0000-0000B4010000}"/>
    <cellStyle name="표준 37" xfId="431" xr:uid="{00000000-0005-0000-0000-0000B5010000}"/>
    <cellStyle name="표준 38" xfId="432" xr:uid="{00000000-0005-0000-0000-0000B6010000}"/>
    <cellStyle name="표준 39" xfId="433" xr:uid="{00000000-0005-0000-0000-0000B7010000}"/>
    <cellStyle name="표준 4" xfId="434" xr:uid="{00000000-0005-0000-0000-0000B8010000}"/>
    <cellStyle name="표준 4 2" xfId="435" xr:uid="{00000000-0005-0000-0000-0000B9010000}"/>
    <cellStyle name="표준 40" xfId="436" xr:uid="{00000000-0005-0000-0000-0000BA010000}"/>
    <cellStyle name="표준 41" xfId="437" xr:uid="{00000000-0005-0000-0000-0000BB010000}"/>
    <cellStyle name="표준 42" xfId="438" xr:uid="{00000000-0005-0000-0000-0000BC010000}"/>
    <cellStyle name="표준 43" xfId="439" xr:uid="{00000000-0005-0000-0000-0000BD010000}"/>
    <cellStyle name="표준 44" xfId="440" xr:uid="{00000000-0005-0000-0000-0000BE010000}"/>
    <cellStyle name="표준 45" xfId="441" xr:uid="{00000000-0005-0000-0000-0000BF010000}"/>
    <cellStyle name="표준 46" xfId="442" xr:uid="{00000000-0005-0000-0000-0000C0010000}"/>
    <cellStyle name="표준 47" xfId="443" xr:uid="{00000000-0005-0000-0000-0000C1010000}"/>
    <cellStyle name="표준 48" xfId="444" xr:uid="{00000000-0005-0000-0000-0000C2010000}"/>
    <cellStyle name="표준 49" xfId="445" xr:uid="{00000000-0005-0000-0000-0000C3010000}"/>
    <cellStyle name="표준 5" xfId="446" xr:uid="{00000000-0005-0000-0000-0000C4010000}"/>
    <cellStyle name="표준 5 2" xfId="447" xr:uid="{00000000-0005-0000-0000-0000C5010000}"/>
    <cellStyle name="표준 50" xfId="448" xr:uid="{00000000-0005-0000-0000-0000C6010000}"/>
    <cellStyle name="표준 51" xfId="449" xr:uid="{00000000-0005-0000-0000-0000C7010000}"/>
    <cellStyle name="표준 52" xfId="450" xr:uid="{00000000-0005-0000-0000-0000C8010000}"/>
    <cellStyle name="표준 53" xfId="451" xr:uid="{00000000-0005-0000-0000-0000C9010000}"/>
    <cellStyle name="표준 54" xfId="452" xr:uid="{00000000-0005-0000-0000-0000CA010000}"/>
    <cellStyle name="표준 55" xfId="453" xr:uid="{00000000-0005-0000-0000-0000CB010000}"/>
    <cellStyle name="표준 56" xfId="454" xr:uid="{00000000-0005-0000-0000-0000CC010000}"/>
    <cellStyle name="표준 57" xfId="455" xr:uid="{00000000-0005-0000-0000-0000CD010000}"/>
    <cellStyle name="표준 58" xfId="456" xr:uid="{00000000-0005-0000-0000-0000CE010000}"/>
    <cellStyle name="표준 59" xfId="457" xr:uid="{00000000-0005-0000-0000-0000CF010000}"/>
    <cellStyle name="표준 6" xfId="458" xr:uid="{00000000-0005-0000-0000-0000D0010000}"/>
    <cellStyle name="표준 6 2" xfId="459" xr:uid="{00000000-0005-0000-0000-0000D1010000}"/>
    <cellStyle name="표준 60" xfId="460" xr:uid="{00000000-0005-0000-0000-0000D2010000}"/>
    <cellStyle name="표준 61" xfId="461" xr:uid="{00000000-0005-0000-0000-0000D3010000}"/>
    <cellStyle name="표준 62" xfId="462" xr:uid="{00000000-0005-0000-0000-0000D4010000}"/>
    <cellStyle name="표준 63" xfId="463" xr:uid="{00000000-0005-0000-0000-0000D5010000}"/>
    <cellStyle name="표준 64" xfId="464" xr:uid="{00000000-0005-0000-0000-0000D6010000}"/>
    <cellStyle name="표준 65" xfId="465" xr:uid="{00000000-0005-0000-0000-0000D7010000}"/>
    <cellStyle name="표준 66" xfId="466" xr:uid="{00000000-0005-0000-0000-0000D8010000}"/>
    <cellStyle name="표준 67" xfId="467" xr:uid="{00000000-0005-0000-0000-0000D9010000}"/>
    <cellStyle name="표준 68" xfId="468" xr:uid="{00000000-0005-0000-0000-0000DA010000}"/>
    <cellStyle name="표준 69" xfId="469" xr:uid="{00000000-0005-0000-0000-0000DB010000}"/>
    <cellStyle name="표준 7" xfId="470" xr:uid="{00000000-0005-0000-0000-0000DC010000}"/>
    <cellStyle name="표준 7 2" xfId="471" xr:uid="{00000000-0005-0000-0000-0000DD010000}"/>
    <cellStyle name="표준 7 3" xfId="472" xr:uid="{00000000-0005-0000-0000-0000DE010000}"/>
    <cellStyle name="표준 7 4" xfId="473" xr:uid="{00000000-0005-0000-0000-0000DF010000}"/>
    <cellStyle name="표준 7 5" xfId="474" xr:uid="{00000000-0005-0000-0000-0000E0010000}"/>
    <cellStyle name="표준 70" xfId="475" xr:uid="{00000000-0005-0000-0000-0000E1010000}"/>
    <cellStyle name="표준 71" xfId="476" xr:uid="{00000000-0005-0000-0000-0000E2010000}"/>
    <cellStyle name="표준 72" xfId="477" xr:uid="{00000000-0005-0000-0000-0000E3010000}"/>
    <cellStyle name="표준 73" xfId="478" xr:uid="{00000000-0005-0000-0000-0000E4010000}"/>
    <cellStyle name="표준 74" xfId="479" xr:uid="{00000000-0005-0000-0000-0000E5010000}"/>
    <cellStyle name="표준 75" xfId="480" xr:uid="{00000000-0005-0000-0000-0000E6010000}"/>
    <cellStyle name="표준 76" xfId="481" xr:uid="{00000000-0005-0000-0000-0000E7010000}"/>
    <cellStyle name="표준 77" xfId="482" xr:uid="{00000000-0005-0000-0000-0000E8010000}"/>
    <cellStyle name="표준 78" xfId="483" xr:uid="{00000000-0005-0000-0000-0000E9010000}"/>
    <cellStyle name="표준 79" xfId="484" xr:uid="{00000000-0005-0000-0000-0000EA010000}"/>
    <cellStyle name="표준 8" xfId="485" xr:uid="{00000000-0005-0000-0000-0000EB010000}"/>
    <cellStyle name="표준 8 2" xfId="486" xr:uid="{00000000-0005-0000-0000-0000EC010000}"/>
    <cellStyle name="표준 80" xfId="487" xr:uid="{00000000-0005-0000-0000-0000ED010000}"/>
    <cellStyle name="표준 81" xfId="488" xr:uid="{00000000-0005-0000-0000-0000EE010000}"/>
    <cellStyle name="표준 82" xfId="489" xr:uid="{00000000-0005-0000-0000-0000EF010000}"/>
    <cellStyle name="표준 83" xfId="490" xr:uid="{00000000-0005-0000-0000-0000F0010000}"/>
    <cellStyle name="표준 84" xfId="491" xr:uid="{00000000-0005-0000-0000-0000F1010000}"/>
    <cellStyle name="표준 85" xfId="492" xr:uid="{00000000-0005-0000-0000-0000F2010000}"/>
    <cellStyle name="표준 86" xfId="493" xr:uid="{00000000-0005-0000-0000-0000F3010000}"/>
    <cellStyle name="표준 87" xfId="494" xr:uid="{00000000-0005-0000-0000-0000F4010000}"/>
    <cellStyle name="표준 88" xfId="495" xr:uid="{00000000-0005-0000-0000-0000F5010000}"/>
    <cellStyle name="표준 89" xfId="496" xr:uid="{00000000-0005-0000-0000-0000F6010000}"/>
    <cellStyle name="표준 9" xfId="497" xr:uid="{00000000-0005-0000-0000-0000F7010000}"/>
    <cellStyle name="표준 9 2" xfId="498" xr:uid="{00000000-0005-0000-0000-0000F8010000}"/>
    <cellStyle name="표준 9 3" xfId="499" xr:uid="{00000000-0005-0000-0000-0000F9010000}"/>
    <cellStyle name="표준 9 4" xfId="500" xr:uid="{00000000-0005-0000-0000-0000FA010000}"/>
    <cellStyle name="표준 90" xfId="501" xr:uid="{00000000-0005-0000-0000-0000FB010000}"/>
    <cellStyle name="표준 91" xfId="502" xr:uid="{00000000-0005-0000-0000-0000FC010000}"/>
    <cellStyle name="표준 92" xfId="503" xr:uid="{00000000-0005-0000-0000-0000FD010000}"/>
    <cellStyle name="표준 93" xfId="504" xr:uid="{00000000-0005-0000-0000-0000FE010000}"/>
    <cellStyle name="표준 94" xfId="505" xr:uid="{00000000-0005-0000-0000-0000FF010000}"/>
    <cellStyle name="표준 95" xfId="506" xr:uid="{00000000-0005-0000-0000-000000020000}"/>
    <cellStyle name="표준 96" xfId="507" xr:uid="{00000000-0005-0000-0000-000001020000}"/>
    <cellStyle name="표준 97" xfId="508" xr:uid="{00000000-0005-0000-0000-000002020000}"/>
    <cellStyle name="표준 98" xfId="509" xr:uid="{00000000-0005-0000-0000-000003020000}"/>
    <cellStyle name="표준 99" xfId="510" xr:uid="{00000000-0005-0000-0000-000004020000}"/>
    <cellStyle name="하이퍼링크 2" xfId="511" xr:uid="{00000000-0005-0000-0000-000005020000}"/>
    <cellStyle name="합산" xfId="512" xr:uid="{00000000-0005-0000-0000-000006020000}"/>
    <cellStyle name="화폐기호" xfId="513" xr:uid="{00000000-0005-0000-0000-000007020000}"/>
    <cellStyle name="화폐기호0" xfId="514" xr:uid="{00000000-0005-0000-0000-000008020000}"/>
    <cellStyle name="桁区切り 2" xfId="515" xr:uid="{00000000-0005-0000-0000-000009020000}"/>
    <cellStyle name="標準 2" xfId="104" xr:uid="{00000000-0005-0000-0000-00000A020000}"/>
    <cellStyle name="標準_SAMPLECOMPRESSOR" xfId="516" xr:uid="{00000000-0005-0000-0000-00000B020000}"/>
  </cellStyles>
  <dxfs count="0"/>
  <tableStyles count="0" defaultTableStyle="TableStyleMedium9" defaultPivotStyle="PivotStyleLight16"/>
  <colors>
    <mruColors>
      <color rgb="FF0000FF"/>
      <color rgb="FF666633"/>
      <color rgb="FFFFFFD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onnections" Target="connection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5.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73272</xdr:colOff>
      <xdr:row>0</xdr:row>
      <xdr:rowOff>114300</xdr:rowOff>
    </xdr:from>
    <xdr:to>
      <xdr:col>3</xdr:col>
      <xdr:colOff>173082</xdr:colOff>
      <xdr:row>2</xdr:row>
      <xdr:rowOff>131230</xdr:rowOff>
    </xdr:to>
    <xdr:pic>
      <xdr:nvPicPr>
        <xdr:cNvPr id="2" name="Picture 1">
          <a:extLst>
            <a:ext uri="{FF2B5EF4-FFF2-40B4-BE49-F238E27FC236}">
              <a16:creationId xmlns:a16="http://schemas.microsoft.com/office/drawing/2014/main" id="{F4D22E8A-82E4-4E1B-911D-CDF5459F16DC}"/>
            </a:ext>
          </a:extLst>
        </xdr:cNvPr>
        <xdr:cNvPicPr preferRelativeResize="0">
          <a:picLocks/>
        </xdr:cNvPicPr>
      </xdr:nvPicPr>
      <xdr:blipFill>
        <a:blip xmlns:r="http://schemas.openxmlformats.org/officeDocument/2006/relationships" r:embed="rId1"/>
        <a:stretch>
          <a:fillRect/>
        </a:stretch>
      </xdr:blipFill>
      <xdr:spPr>
        <a:xfrm>
          <a:off x="73272" y="114300"/>
          <a:ext cx="1581900" cy="4398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36176</xdr:colOff>
      <xdr:row>1</xdr:row>
      <xdr:rowOff>33868</xdr:rowOff>
    </xdr:from>
    <xdr:to>
      <xdr:col>2</xdr:col>
      <xdr:colOff>1191106</xdr:colOff>
      <xdr:row>3</xdr:row>
      <xdr:rowOff>108389</xdr:rowOff>
    </xdr:to>
    <xdr:pic>
      <xdr:nvPicPr>
        <xdr:cNvPr id="2" name="Picture 1">
          <a:extLst>
            <a:ext uri="{FF2B5EF4-FFF2-40B4-BE49-F238E27FC236}">
              <a16:creationId xmlns:a16="http://schemas.microsoft.com/office/drawing/2014/main" id="{8DB6ACF1-68AF-475B-9354-D658D76DED8D}"/>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17000"/>
                  </a14:imgEffect>
                </a14:imgLayer>
              </a14:imgProps>
            </a:ext>
          </a:extLst>
        </a:blip>
        <a:stretch>
          <a:fillRect/>
        </a:stretch>
      </xdr:blipFill>
      <xdr:spPr>
        <a:xfrm>
          <a:off x="219056" y="224368"/>
          <a:ext cx="1604510" cy="4555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65314</xdr:colOff>
      <xdr:row>1</xdr:row>
      <xdr:rowOff>32657</xdr:rowOff>
    </xdr:from>
    <xdr:to>
      <xdr:col>2</xdr:col>
      <xdr:colOff>423234</xdr:colOff>
      <xdr:row>3</xdr:row>
      <xdr:rowOff>10583</xdr:rowOff>
    </xdr:to>
    <xdr:pic>
      <xdr:nvPicPr>
        <xdr:cNvPr id="2" name="Picture 1">
          <a:extLst>
            <a:ext uri="{FF2B5EF4-FFF2-40B4-BE49-F238E27FC236}">
              <a16:creationId xmlns:a16="http://schemas.microsoft.com/office/drawing/2014/main" id="{B3BB6498-E2B8-4C12-9F21-A1A193553672}"/>
            </a:ext>
          </a:extLst>
        </xdr:cNvPr>
        <xdr:cNvPicPr>
          <a:picLocks noChangeAspect="1"/>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17000"/>
                  </a14:imgEffect>
                </a14:imgLayer>
              </a14:imgProps>
            </a:ext>
          </a:extLst>
        </a:blip>
        <a:stretch>
          <a:fillRect/>
        </a:stretch>
      </xdr:blipFill>
      <xdr:spPr>
        <a:xfrm>
          <a:off x="65314" y="169817"/>
          <a:ext cx="1073507" cy="3145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930278</xdr:colOff>
      <xdr:row>3</xdr:row>
      <xdr:rowOff>73658</xdr:rowOff>
    </xdr:to>
    <xdr:pic>
      <xdr:nvPicPr>
        <xdr:cNvPr id="2" name="Picture 1">
          <a:extLst>
            <a:ext uri="{FF2B5EF4-FFF2-40B4-BE49-F238E27FC236}">
              <a16:creationId xmlns:a16="http://schemas.microsoft.com/office/drawing/2014/main" id="{02995167-A6D0-4F11-BEE8-A307E4E58232}"/>
            </a:ext>
          </a:extLst>
        </xdr:cNvPr>
        <xdr:cNvPicPr preferRelativeResize="0">
          <a:picLocks/>
        </xdr:cNvPicPr>
      </xdr:nvPicPr>
      <xdr:blipFill>
        <a:blip xmlns:r="http://schemas.openxmlformats.org/officeDocument/2006/relationships" r:embed="rId1"/>
        <a:stretch>
          <a:fillRect/>
        </a:stretch>
      </xdr:blipFill>
      <xdr:spPr>
        <a:xfrm>
          <a:off x="190500" y="198120"/>
          <a:ext cx="1604648" cy="4698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0</xdr:row>
      <xdr:rowOff>101600</xdr:rowOff>
    </xdr:from>
    <xdr:to>
      <xdr:col>2</xdr:col>
      <xdr:colOff>1215468</xdr:colOff>
      <xdr:row>2</xdr:row>
      <xdr:rowOff>141465</xdr:rowOff>
    </xdr:to>
    <xdr:pic>
      <xdr:nvPicPr>
        <xdr:cNvPr id="2" name="Picture 1">
          <a:extLst>
            <a:ext uri="{FF2B5EF4-FFF2-40B4-BE49-F238E27FC236}">
              <a16:creationId xmlns:a16="http://schemas.microsoft.com/office/drawing/2014/main" id="{F4376104-8C67-4E6A-B27D-9B3BFDF04A91}"/>
            </a:ext>
          </a:extLst>
        </xdr:cNvPr>
        <xdr:cNvPicPr preferRelativeResize="0">
          <a:picLocks/>
        </xdr:cNvPicPr>
      </xdr:nvPicPr>
      <xdr:blipFill>
        <a:blip xmlns:r="http://schemas.openxmlformats.org/officeDocument/2006/relationships" r:embed="rId1">
          <a:extLst>
            <a:ext uri="{BEBA8EAE-BF5A-486C-A8C5-ECC9F3942E4B}">
              <a14:imgProps xmlns:a14="http://schemas.microsoft.com/office/drawing/2010/main">
                <a14:imgLayer r:embed="rId2">
                  <a14:imgEffect>
                    <a14:brightnessContrast contrast="17000"/>
                  </a14:imgEffect>
                </a14:imgLayer>
              </a14:imgProps>
            </a:ext>
          </a:extLst>
        </a:blip>
        <a:stretch>
          <a:fillRect/>
        </a:stretch>
      </xdr:blipFill>
      <xdr:spPr>
        <a:xfrm>
          <a:off x="313765" y="101600"/>
          <a:ext cx="1620000" cy="45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TEMP/PAT_Lite_master/PAT_Lite_master.xls" TargetMode="External"/><Relationship Id="rId1" Type="http://schemas.openxmlformats.org/officeDocument/2006/relationships/externalLinkPath" Target="/TEMP/PAT_Lite_master/PAT_Lite_master.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Debenedittis/MODULISTICA/Modulistica_APS/Modulistica_PROCESSO/DOC_STD_PROCESSO/EQUIP_SUMM_ital_02.xls" TargetMode="External"/><Relationship Id="rId1" Type="http://schemas.openxmlformats.org/officeDocument/2006/relationships/externalLinkPath" Target="/Debenedittis/MODULISTICA/Modulistica_APS/Modulistica_PROCESSO/DOC_STD_PROCESSO/EQUIP_SUMM_ital_02.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Tmp/Temporary%20Directory%201%20for%20PATLite_CondMon.zip/PATLite_CondMon.xls" TargetMode="External"/><Relationship Id="rId1" Type="http://schemas.openxmlformats.org/officeDocument/2006/relationships/externalLinkPath" Target="/Tmp/Temporary%20Directory%201%20for%20PATLite_CondMon.zip/PATLite_CondMon.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CHEFP1/Projects$/PROJECTS%20HANDLED%201/PROJECTS%20HANDLED/Survey%20sheets/N%20E%20W%20%20%20F%20O%20R%20M%20A%20T/2RSD_Survey_Sample%20v46.xls" TargetMode="External"/><Relationship Id="rId1" Type="http://schemas.openxmlformats.org/officeDocument/2006/relationships/externalLinkPath" Target="/CHEFP1/Projects$/PROJECTS%20HANDLED%201/PROJECTS%20HANDLED/Survey%20sheets/N%20E%20W%20%20%20F%20O%20R%20M%20A%20T/2RSD_Survey_Sample%20v4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ks-fr.exnet.technip.com/sites/JeevanTPFrance/JeevanSupportFrance/Support%20Utilisateurs/FSI-P2P-P224.02-5%20(P224.02%20-%20New%20Demand%20and%20PR)%20SDM%20TEMPLATE%20E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TEMP\PAT_Lite_master\PAT_Lite_maste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structions"/>
      <sheetName val="EX2100Export"/>
      <sheetName val="Customer Information"/>
      <sheetName val="RangeData"/>
      <sheetName val="Screening_Points"/>
      <sheetName val="Plant"/>
      <sheetName val="Applications"/>
      <sheetName val="Scope-Controls"/>
      <sheetName val="Scope-HW"/>
      <sheetName val="Trendmaster Configure"/>
      <sheetName val="Screen-Hydro"/>
      <sheetName val="Screen-OPS"/>
      <sheetName val="PackSys"/>
      <sheetName val="Scope-SW"/>
      <sheetName val="Scope-PartXRef"/>
      <sheetName val="Scope-TMBOP"/>
      <sheetName val="HW-SW"/>
      <sheetName val="PL"/>
      <sheetName val="Spare Parts"/>
      <sheetName val="Service Cal"/>
      <sheetName val="Service Pricing"/>
      <sheetName val="3500 Rack Layout"/>
      <sheetName val="Parts List"/>
      <sheetName val="ScopeDefaults"/>
      <sheetName val="Quotation"/>
      <sheetName val="R2 Summary"/>
      <sheetName val="RRC"/>
      <sheetName val="PriceAuthority"/>
      <sheetName val="Margin Share"/>
      <sheetName val="Endnotes - Fixed Price"/>
      <sheetName val="Endnotes - Budgetary"/>
      <sheetName val="Service OTR Summary"/>
      <sheetName val="Scope-SW-V5"/>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s"/>
      <sheetName val="FRONTE"/>
      <sheetName val="Aircoolers"/>
      <sheetName val="Basins"/>
      <sheetName val="Agitators"/>
      <sheetName val="Blowers"/>
      <sheetName val="Boilers"/>
      <sheetName val="Compressors"/>
      <sheetName val="Conveyors"/>
      <sheetName val="Elevator"/>
      <sheetName val="Heat Exchangers"/>
      <sheetName val="Heaters"/>
      <sheetName val="Hoppers"/>
      <sheetName val="Miscellanea"/>
      <sheetName val="Pumps"/>
      <sheetName val="Reactors"/>
      <sheetName val="Tanks"/>
      <sheetName val="Towers"/>
      <sheetName val="Turbines"/>
      <sheetName val="Vessels"/>
    </sheetNames>
    <sheetDataSet>
      <sheetData sheetId="0" refreshError="1">
        <row r="19">
          <cell r="A19" t="str">
            <v>Impianto XXXXXX</v>
          </cell>
        </row>
        <row r="20">
          <cell r="A20" t="str">
            <v>Cliente XXXXXX</v>
          </cell>
        </row>
        <row r="21">
          <cell r="A21" t="str">
            <v>PXXXX</v>
          </cell>
        </row>
        <row r="22">
          <cell r="A22" t="str">
            <v>PY-000-001</v>
          </cell>
        </row>
        <row r="23">
          <cell r="A23">
            <v>999</v>
          </cell>
        </row>
        <row r="24">
          <cell r="A24" t="str">
            <v>MOD. PRO-024/2</v>
          </cell>
        </row>
        <row r="27">
          <cell r="A27" t="str">
            <v>[°C]</v>
          </cell>
        </row>
        <row r="28">
          <cell r="A28" t="str">
            <v>[Bar g]</v>
          </cell>
        </row>
        <row r="32">
          <cell r="A32" t="str">
            <v>[kW]</v>
          </cell>
        </row>
        <row r="34">
          <cell r="A34" t="str">
            <v>[m3/h]</v>
          </cell>
        </row>
      </sheetData>
      <sheetData sheetId="1" refreshError="1">
        <row r="56">
          <cell r="AE56">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cope-Global"/>
      <sheetName val="GPRack-BOM"/>
      <sheetName val="Instructions"/>
      <sheetName val="EX2100Export"/>
      <sheetName val="Customer Information"/>
      <sheetName val="RangeData"/>
      <sheetName val="Screening_Points"/>
      <sheetName val="Plant"/>
      <sheetName val="Applications"/>
      <sheetName val="WiTry"/>
      <sheetName val="Scope-HW"/>
      <sheetName val="Trendmaster Configure"/>
      <sheetName val="Scope-PartXRef"/>
      <sheetName val="Overspeed"/>
      <sheetName val="DM2K_Migration"/>
      <sheetName val="Scope-SW"/>
      <sheetName val="HW-SW"/>
      <sheetName val="PL"/>
      <sheetName val="ScopeDefaults"/>
      <sheetName val="Scope-GP-Others"/>
      <sheetName val="Spare Parts"/>
      <sheetName val="Scope-TMBOP"/>
      <sheetName val="PackSys"/>
      <sheetName val="FAT PRICING"/>
      <sheetName val="PROJECT ENGINEERING"/>
      <sheetName val="Scope-PM"/>
      <sheetName val="FormatTemplate"/>
      <sheetName val="Service Cal"/>
      <sheetName val="Service Pricing"/>
      <sheetName val="UsefulLinks"/>
      <sheetName val="3500 Rack Layout"/>
      <sheetName val="Parts List"/>
      <sheetName val="Compliance"/>
      <sheetName val="Quotation"/>
      <sheetName val="QuoteSetup"/>
      <sheetName val="QuoteLogic"/>
      <sheetName val="R2 Summary"/>
      <sheetName val="RiskReview"/>
      <sheetName val="PriceAuthority"/>
      <sheetName val="Scope-SW-V5"/>
      <sheetName val="Scope-Controls"/>
      <sheetName val="Service OTR Summary"/>
      <sheetName val="BPPricing"/>
      <sheetName val="R3 SAP interface"/>
      <sheetName val="Revision Status"/>
    </sheetNames>
    <sheetDataSet>
      <sheetData sheetId="0"/>
      <sheetData sheetId="1"/>
      <sheetData sheetId="2"/>
      <sheetData sheetId="3"/>
      <sheetData sheetId="4">
        <row r="11">
          <cell r="K11">
            <v>1</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rvey"/>
      <sheetName val="EIS Field Template 1"/>
      <sheetName val="EIS Field Template 2"/>
      <sheetName val="HeaderData"/>
      <sheetName val="Units"/>
      <sheetName val="Tech Notes"/>
      <sheetName val="Sys-Aux Proposals"/>
      <sheetName val="Revision History"/>
      <sheetName val="Commercial Notes"/>
      <sheetName val="P-Design"/>
      <sheetName val="Material Code"/>
      <sheetName val="Terms &amp; Conditions"/>
    </sheetNames>
    <sheetDataSet>
      <sheetData sheetId="0"/>
      <sheetData sheetId="1" refreshError="1"/>
      <sheetData sheetId="2" refreshError="1"/>
      <sheetData sheetId="3"/>
      <sheetData sheetId="4">
        <row r="87">
          <cell r="A87" t="str">
            <v xml:space="preserve">01          </v>
          </cell>
        </row>
        <row r="88">
          <cell r="A88" t="str">
            <v xml:space="preserve">01/61       </v>
          </cell>
        </row>
        <row r="89">
          <cell r="A89" t="str">
            <v xml:space="preserve">01/62       </v>
          </cell>
        </row>
        <row r="90">
          <cell r="A90" t="str">
            <v>02</v>
          </cell>
        </row>
        <row r="91">
          <cell r="A91" t="str">
            <v xml:space="preserve">02          </v>
          </cell>
        </row>
        <row r="92">
          <cell r="A92" t="str">
            <v xml:space="preserve">02/52       </v>
          </cell>
        </row>
        <row r="93">
          <cell r="A93" t="str">
            <v>02/53</v>
          </cell>
        </row>
        <row r="94">
          <cell r="A94" t="str">
            <v>02/53/61</v>
          </cell>
        </row>
        <row r="95">
          <cell r="A95" t="str">
            <v>02/53A</v>
          </cell>
        </row>
        <row r="96">
          <cell r="A96" t="str">
            <v>02/53A/61</v>
          </cell>
        </row>
        <row r="97">
          <cell r="A97" t="str">
            <v>02/53A/62</v>
          </cell>
        </row>
        <row r="98">
          <cell r="A98" t="str">
            <v>02/53B/61</v>
          </cell>
        </row>
        <row r="99">
          <cell r="A99" t="str">
            <v>02/53B/62</v>
          </cell>
        </row>
        <row r="100">
          <cell r="A100" t="str">
            <v>02/53C/61</v>
          </cell>
        </row>
        <row r="101">
          <cell r="A101" t="str">
            <v>02/53C/62</v>
          </cell>
        </row>
        <row r="102">
          <cell r="A102" t="str">
            <v>02/54</v>
          </cell>
        </row>
        <row r="103">
          <cell r="A103" t="str">
            <v xml:space="preserve">02/61       </v>
          </cell>
        </row>
        <row r="104">
          <cell r="A104" t="str">
            <v xml:space="preserve">02/62       </v>
          </cell>
        </row>
        <row r="105">
          <cell r="A105" t="str">
            <v xml:space="preserve">11          </v>
          </cell>
        </row>
        <row r="106">
          <cell r="A106" t="str">
            <v xml:space="preserve">11/52       </v>
          </cell>
        </row>
        <row r="107">
          <cell r="A107" t="str">
            <v xml:space="preserve">11/52/61    </v>
          </cell>
        </row>
        <row r="108">
          <cell r="A108" t="str">
            <v xml:space="preserve">11/52/62    </v>
          </cell>
        </row>
        <row r="109">
          <cell r="A109" t="str">
            <v xml:space="preserve">11/53       </v>
          </cell>
        </row>
        <row r="110">
          <cell r="A110" t="str">
            <v xml:space="preserve">11/53/61    </v>
          </cell>
        </row>
        <row r="111">
          <cell r="A111" t="str">
            <v xml:space="preserve">11/53/62    </v>
          </cell>
        </row>
        <row r="112">
          <cell r="A112" t="str">
            <v>11/53A</v>
          </cell>
        </row>
        <row r="113">
          <cell r="A113" t="str">
            <v>11/53A/61</v>
          </cell>
        </row>
        <row r="114">
          <cell r="A114" t="str">
            <v>11/53A/62</v>
          </cell>
        </row>
        <row r="115">
          <cell r="A115" t="str">
            <v>11/53B</v>
          </cell>
        </row>
        <row r="116">
          <cell r="A116" t="str">
            <v>11/53B/61</v>
          </cell>
        </row>
        <row r="117">
          <cell r="A117" t="str">
            <v>11/53B/62</v>
          </cell>
        </row>
        <row r="118">
          <cell r="A118" t="str">
            <v>11/53C</v>
          </cell>
        </row>
        <row r="119">
          <cell r="A119" t="str">
            <v>11/53C/61</v>
          </cell>
        </row>
        <row r="120">
          <cell r="A120" t="str">
            <v>11/53C/62</v>
          </cell>
        </row>
        <row r="121">
          <cell r="A121" t="str">
            <v xml:space="preserve">11/54       </v>
          </cell>
        </row>
        <row r="122">
          <cell r="A122" t="str">
            <v xml:space="preserve">11/54/61    </v>
          </cell>
        </row>
        <row r="123">
          <cell r="A123" t="str">
            <v xml:space="preserve">11/54/62    </v>
          </cell>
        </row>
        <row r="124">
          <cell r="A124" t="str">
            <v xml:space="preserve">11/61       </v>
          </cell>
        </row>
        <row r="125">
          <cell r="A125" t="str">
            <v xml:space="preserve">11/62       </v>
          </cell>
        </row>
        <row r="126">
          <cell r="A126" t="str">
            <v>11/71</v>
          </cell>
        </row>
        <row r="127">
          <cell r="A127" t="str">
            <v>11/72</v>
          </cell>
        </row>
        <row r="128">
          <cell r="A128" t="str">
            <v>11/72/75</v>
          </cell>
        </row>
        <row r="129">
          <cell r="A129" t="str">
            <v>11/72/76</v>
          </cell>
        </row>
        <row r="130">
          <cell r="A130" t="str">
            <v>11/74</v>
          </cell>
        </row>
        <row r="131">
          <cell r="A131" t="str">
            <v>11/75</v>
          </cell>
        </row>
        <row r="132">
          <cell r="A132" t="str">
            <v>11/76</v>
          </cell>
        </row>
        <row r="133">
          <cell r="A133" t="str">
            <v>12</v>
          </cell>
        </row>
        <row r="134">
          <cell r="A134" t="str">
            <v>12/52</v>
          </cell>
        </row>
        <row r="135">
          <cell r="A135" t="str">
            <v xml:space="preserve">13          </v>
          </cell>
        </row>
        <row r="136">
          <cell r="A136" t="str">
            <v>13/23</v>
          </cell>
        </row>
        <row r="137">
          <cell r="A137" t="str">
            <v xml:space="preserve">13/32       </v>
          </cell>
        </row>
        <row r="138">
          <cell r="A138" t="str">
            <v xml:space="preserve">13/32/61    </v>
          </cell>
        </row>
        <row r="139">
          <cell r="A139" t="str">
            <v xml:space="preserve">13/32/62    </v>
          </cell>
        </row>
        <row r="140">
          <cell r="A140" t="str">
            <v>13/51</v>
          </cell>
        </row>
        <row r="141">
          <cell r="A141" t="str">
            <v xml:space="preserve">13/52       </v>
          </cell>
        </row>
        <row r="142">
          <cell r="A142" t="str">
            <v xml:space="preserve">13/52/61    </v>
          </cell>
        </row>
        <row r="143">
          <cell r="A143" t="str">
            <v xml:space="preserve">13/52/62    </v>
          </cell>
        </row>
        <row r="144">
          <cell r="A144" t="str">
            <v xml:space="preserve">13/53       </v>
          </cell>
        </row>
        <row r="145">
          <cell r="A145" t="str">
            <v xml:space="preserve">13/53/61    </v>
          </cell>
        </row>
        <row r="146">
          <cell r="A146" t="str">
            <v xml:space="preserve">13/53/62    </v>
          </cell>
        </row>
        <row r="147">
          <cell r="A147" t="str">
            <v>13/53A</v>
          </cell>
        </row>
        <row r="148">
          <cell r="A148" t="str">
            <v>13/53A/61</v>
          </cell>
        </row>
        <row r="149">
          <cell r="A149" t="str">
            <v>13/53A/62</v>
          </cell>
        </row>
        <row r="150">
          <cell r="A150" t="str">
            <v>13/53B</v>
          </cell>
        </row>
        <row r="151">
          <cell r="A151" t="str">
            <v>13/53B/61</v>
          </cell>
        </row>
        <row r="152">
          <cell r="A152" t="str">
            <v>13/53B/62</v>
          </cell>
        </row>
        <row r="153">
          <cell r="A153" t="str">
            <v>13/53C</v>
          </cell>
        </row>
        <row r="154">
          <cell r="A154" t="str">
            <v>13/53C/61</v>
          </cell>
        </row>
        <row r="155">
          <cell r="A155" t="str">
            <v>13/53C/62</v>
          </cell>
        </row>
        <row r="156">
          <cell r="A156" t="str">
            <v xml:space="preserve">13/54       </v>
          </cell>
        </row>
        <row r="157">
          <cell r="A157" t="str">
            <v xml:space="preserve">13/54/61    </v>
          </cell>
        </row>
        <row r="158">
          <cell r="A158" t="str">
            <v xml:space="preserve">13/54/62    </v>
          </cell>
        </row>
        <row r="159">
          <cell r="A159" t="str">
            <v xml:space="preserve">13/61       </v>
          </cell>
        </row>
        <row r="160">
          <cell r="A160" t="str">
            <v xml:space="preserve">13/62       </v>
          </cell>
        </row>
        <row r="161">
          <cell r="A161" t="str">
            <v>13/72</v>
          </cell>
        </row>
        <row r="162">
          <cell r="A162" t="str">
            <v>13/72/75</v>
          </cell>
        </row>
        <row r="163">
          <cell r="A163" t="str">
            <v>13/72/76</v>
          </cell>
        </row>
        <row r="164">
          <cell r="A164" t="str">
            <v xml:space="preserve">14          </v>
          </cell>
        </row>
        <row r="165">
          <cell r="A165" t="str">
            <v xml:space="preserve">14/52       </v>
          </cell>
        </row>
        <row r="166">
          <cell r="A166" t="str">
            <v xml:space="preserve">14/53       </v>
          </cell>
        </row>
        <row r="167">
          <cell r="A167" t="str">
            <v>14/53A</v>
          </cell>
        </row>
        <row r="168">
          <cell r="A168" t="str">
            <v>14/53B</v>
          </cell>
        </row>
        <row r="169">
          <cell r="A169" t="str">
            <v>14/53C</v>
          </cell>
        </row>
        <row r="170">
          <cell r="A170" t="str">
            <v xml:space="preserve">14/54       </v>
          </cell>
        </row>
        <row r="171">
          <cell r="A171" t="str">
            <v xml:space="preserve">14/61       </v>
          </cell>
        </row>
        <row r="172">
          <cell r="A172" t="str">
            <v xml:space="preserve">14/62       </v>
          </cell>
        </row>
        <row r="173">
          <cell r="A173" t="str">
            <v xml:space="preserve">14/63       </v>
          </cell>
        </row>
        <row r="174">
          <cell r="A174" t="str">
            <v>14/72/76</v>
          </cell>
        </row>
        <row r="175">
          <cell r="A175" t="str">
            <v xml:space="preserve">21          </v>
          </cell>
        </row>
        <row r="176">
          <cell r="A176" t="str">
            <v xml:space="preserve">21/13/52    </v>
          </cell>
        </row>
        <row r="177">
          <cell r="A177" t="str">
            <v xml:space="preserve">21/52       </v>
          </cell>
        </row>
        <row r="178">
          <cell r="A178" t="str">
            <v xml:space="preserve">21/52/61    </v>
          </cell>
        </row>
        <row r="179">
          <cell r="A179" t="str">
            <v xml:space="preserve">21/52/62    </v>
          </cell>
        </row>
        <row r="180">
          <cell r="A180" t="str">
            <v xml:space="preserve">21/53       </v>
          </cell>
        </row>
        <row r="181">
          <cell r="A181" t="str">
            <v xml:space="preserve">21/53/61    </v>
          </cell>
        </row>
        <row r="182">
          <cell r="A182" t="str">
            <v xml:space="preserve">21/53/62    </v>
          </cell>
        </row>
        <row r="183">
          <cell r="A183" t="str">
            <v>21/53A</v>
          </cell>
        </row>
        <row r="184">
          <cell r="A184" t="str">
            <v>21/53A/61</v>
          </cell>
        </row>
        <row r="185">
          <cell r="A185" t="str">
            <v>21/53A/62</v>
          </cell>
        </row>
        <row r="186">
          <cell r="A186" t="str">
            <v>21/53B</v>
          </cell>
        </row>
        <row r="187">
          <cell r="A187" t="str">
            <v>21/53B/61</v>
          </cell>
        </row>
        <row r="188">
          <cell r="A188" t="str">
            <v>21/53B/62</v>
          </cell>
        </row>
        <row r="189">
          <cell r="A189" t="str">
            <v>21/53C</v>
          </cell>
        </row>
        <row r="190">
          <cell r="A190" t="str">
            <v>21/53C/61</v>
          </cell>
        </row>
        <row r="191">
          <cell r="A191" t="str">
            <v>21/53C/62</v>
          </cell>
        </row>
        <row r="192">
          <cell r="A192" t="str">
            <v xml:space="preserve">21/54       </v>
          </cell>
        </row>
        <row r="193">
          <cell r="A193" t="str">
            <v xml:space="preserve">21/54/61    </v>
          </cell>
        </row>
        <row r="194">
          <cell r="A194" t="str">
            <v xml:space="preserve">21/54/62    </v>
          </cell>
        </row>
        <row r="195">
          <cell r="A195" t="str">
            <v xml:space="preserve">21/61       </v>
          </cell>
        </row>
        <row r="196">
          <cell r="A196" t="str">
            <v xml:space="preserve">21/62       </v>
          </cell>
        </row>
        <row r="197">
          <cell r="A197" t="str">
            <v>21/75</v>
          </cell>
        </row>
        <row r="198">
          <cell r="A198" t="str">
            <v xml:space="preserve">23          </v>
          </cell>
        </row>
        <row r="199">
          <cell r="A199" t="str">
            <v>23/32/61</v>
          </cell>
        </row>
        <row r="200">
          <cell r="A200" t="str">
            <v>23/32/62</v>
          </cell>
        </row>
        <row r="201">
          <cell r="A201" t="str">
            <v xml:space="preserve">23/52       </v>
          </cell>
        </row>
        <row r="202">
          <cell r="A202" t="str">
            <v xml:space="preserve">23/52/61    </v>
          </cell>
        </row>
        <row r="203">
          <cell r="A203" t="str">
            <v xml:space="preserve">23/52/62    </v>
          </cell>
        </row>
        <row r="204">
          <cell r="A204" t="str">
            <v xml:space="preserve">23/53       </v>
          </cell>
        </row>
        <row r="205">
          <cell r="A205" t="str">
            <v xml:space="preserve">23/53/61    </v>
          </cell>
        </row>
        <row r="206">
          <cell r="A206" t="str">
            <v xml:space="preserve">23/53/62    </v>
          </cell>
        </row>
        <row r="207">
          <cell r="A207" t="str">
            <v>23/53A</v>
          </cell>
        </row>
        <row r="208">
          <cell r="A208" t="str">
            <v>23/53A/61</v>
          </cell>
        </row>
        <row r="209">
          <cell r="A209" t="str">
            <v>23/53A/62</v>
          </cell>
        </row>
        <row r="210">
          <cell r="A210" t="str">
            <v>23/53B</v>
          </cell>
        </row>
        <row r="211">
          <cell r="A211" t="str">
            <v>23/53B/61</v>
          </cell>
        </row>
        <row r="212">
          <cell r="A212" t="str">
            <v>23/53B/62</v>
          </cell>
        </row>
        <row r="213">
          <cell r="A213" t="str">
            <v>23/53C</v>
          </cell>
        </row>
        <row r="214">
          <cell r="A214" t="str">
            <v>23/53C/61</v>
          </cell>
        </row>
        <row r="215">
          <cell r="A215" t="str">
            <v>23/53C/62</v>
          </cell>
        </row>
        <row r="216">
          <cell r="A216" t="str">
            <v xml:space="preserve">23/54       </v>
          </cell>
        </row>
        <row r="217">
          <cell r="A217" t="str">
            <v xml:space="preserve">23/54/61    </v>
          </cell>
        </row>
        <row r="218">
          <cell r="A218" t="str">
            <v xml:space="preserve">23/54/62    </v>
          </cell>
        </row>
        <row r="219">
          <cell r="A219" t="str">
            <v xml:space="preserve">23/61       </v>
          </cell>
        </row>
        <row r="220">
          <cell r="A220" t="str">
            <v xml:space="preserve">23/62       </v>
          </cell>
        </row>
        <row r="221">
          <cell r="A221" t="str">
            <v xml:space="preserve">31          </v>
          </cell>
        </row>
        <row r="222">
          <cell r="A222" t="str">
            <v>31/52</v>
          </cell>
        </row>
        <row r="223">
          <cell r="A223" t="str">
            <v xml:space="preserve">31/61       </v>
          </cell>
        </row>
        <row r="224">
          <cell r="A224" t="str">
            <v xml:space="preserve">31/62       </v>
          </cell>
        </row>
        <row r="225">
          <cell r="A225" t="str">
            <v>31/76</v>
          </cell>
        </row>
        <row r="226">
          <cell r="A226" t="str">
            <v xml:space="preserve">32          </v>
          </cell>
        </row>
        <row r="227">
          <cell r="A227" t="str">
            <v xml:space="preserve">32/52       </v>
          </cell>
        </row>
        <row r="228">
          <cell r="A228" t="str">
            <v xml:space="preserve">32/52/61    </v>
          </cell>
        </row>
        <row r="229">
          <cell r="A229" t="str">
            <v xml:space="preserve">32/52/62    </v>
          </cell>
        </row>
        <row r="230">
          <cell r="A230" t="str">
            <v xml:space="preserve">32/53       </v>
          </cell>
        </row>
        <row r="231">
          <cell r="A231" t="str">
            <v xml:space="preserve">32/53/61    </v>
          </cell>
        </row>
        <row r="232">
          <cell r="A232" t="str">
            <v xml:space="preserve">32/53/62    </v>
          </cell>
        </row>
        <row r="233">
          <cell r="A233" t="str">
            <v>32/53A</v>
          </cell>
        </row>
        <row r="234">
          <cell r="A234" t="str">
            <v>32/53A/61</v>
          </cell>
        </row>
        <row r="235">
          <cell r="A235" t="str">
            <v>32/53A/62</v>
          </cell>
        </row>
        <row r="236">
          <cell r="A236" t="str">
            <v>32/53B</v>
          </cell>
        </row>
        <row r="237">
          <cell r="A237" t="str">
            <v>32/53B/61</v>
          </cell>
        </row>
        <row r="238">
          <cell r="A238" t="str">
            <v>32/53B/62</v>
          </cell>
        </row>
        <row r="239">
          <cell r="A239" t="str">
            <v>32/53C</v>
          </cell>
        </row>
        <row r="240">
          <cell r="A240" t="str">
            <v>32/53C/61</v>
          </cell>
        </row>
        <row r="241">
          <cell r="A241" t="str">
            <v>32/53C/62</v>
          </cell>
        </row>
        <row r="242">
          <cell r="A242" t="str">
            <v xml:space="preserve">32/54       </v>
          </cell>
        </row>
        <row r="243">
          <cell r="A243" t="str">
            <v xml:space="preserve">32/54/61    </v>
          </cell>
        </row>
        <row r="244">
          <cell r="A244" t="str">
            <v xml:space="preserve">32/61       </v>
          </cell>
        </row>
        <row r="245">
          <cell r="A245" t="str">
            <v xml:space="preserve">32/62       </v>
          </cell>
        </row>
        <row r="246">
          <cell r="A246" t="str">
            <v xml:space="preserve">41          </v>
          </cell>
        </row>
        <row r="247">
          <cell r="A247" t="str">
            <v>41/61</v>
          </cell>
        </row>
        <row r="248">
          <cell r="A248" t="str">
            <v>41/62</v>
          </cell>
        </row>
        <row r="249">
          <cell r="A249" t="str">
            <v xml:space="preserve">51          </v>
          </cell>
        </row>
        <row r="250">
          <cell r="A250" t="str">
            <v xml:space="preserve">52          </v>
          </cell>
        </row>
        <row r="251">
          <cell r="A251" t="str">
            <v xml:space="preserve">53          </v>
          </cell>
        </row>
        <row r="252">
          <cell r="A252" t="str">
            <v xml:space="preserve">53 Mod      </v>
          </cell>
        </row>
        <row r="253">
          <cell r="A253" t="str">
            <v xml:space="preserve">53/61       </v>
          </cell>
        </row>
        <row r="254">
          <cell r="A254" t="str">
            <v xml:space="preserve">53/62       </v>
          </cell>
        </row>
        <row r="255">
          <cell r="A255" t="str">
            <v>53A</v>
          </cell>
        </row>
        <row r="256">
          <cell r="A256" t="str">
            <v>53A/61</v>
          </cell>
        </row>
        <row r="257">
          <cell r="A257" t="str">
            <v>53A/62</v>
          </cell>
        </row>
        <row r="258">
          <cell r="A258" t="str">
            <v>53B</v>
          </cell>
        </row>
        <row r="259">
          <cell r="A259" t="str">
            <v>53B/61</v>
          </cell>
        </row>
        <row r="260">
          <cell r="A260" t="str">
            <v>53B/62</v>
          </cell>
        </row>
        <row r="261">
          <cell r="A261" t="str">
            <v>53C</v>
          </cell>
        </row>
        <row r="262">
          <cell r="A262" t="str">
            <v>53C/61</v>
          </cell>
        </row>
        <row r="263">
          <cell r="A263" t="str">
            <v>53C/62</v>
          </cell>
        </row>
        <row r="264">
          <cell r="A264" t="str">
            <v xml:space="preserve">54          </v>
          </cell>
        </row>
        <row r="265">
          <cell r="A265" t="str">
            <v xml:space="preserve">54/61       </v>
          </cell>
        </row>
        <row r="266">
          <cell r="A266" t="str">
            <v xml:space="preserve">54/62       </v>
          </cell>
        </row>
        <row r="267">
          <cell r="A267" t="str">
            <v>72</v>
          </cell>
        </row>
        <row r="268">
          <cell r="A268" t="str">
            <v>74</v>
          </cell>
        </row>
        <row r="269">
          <cell r="A269" t="str">
            <v>74/62</v>
          </cell>
        </row>
        <row r="271">
          <cell r="A271" t="str">
            <v>BDAEJ</v>
          </cell>
        </row>
        <row r="272">
          <cell r="A272" t="str">
            <v>BDAEK</v>
          </cell>
        </row>
        <row r="273">
          <cell r="A273" t="str">
            <v>BDAEL</v>
          </cell>
        </row>
        <row r="274">
          <cell r="A274" t="str">
            <v>BDAEM</v>
          </cell>
        </row>
        <row r="275">
          <cell r="A275" t="str">
            <v>BDAEN</v>
          </cell>
        </row>
        <row r="276">
          <cell r="A276" t="str">
            <v>BDAEX</v>
          </cell>
        </row>
        <row r="277">
          <cell r="A277" t="str">
            <v>BDAFJ</v>
          </cell>
        </row>
        <row r="278">
          <cell r="A278" t="str">
            <v>BDAFK</v>
          </cell>
        </row>
        <row r="279">
          <cell r="A279" t="str">
            <v>BDAFL</v>
          </cell>
        </row>
        <row r="280">
          <cell r="A280" t="str">
            <v>BDAFM</v>
          </cell>
        </row>
        <row r="281">
          <cell r="A281" t="str">
            <v>BDAFN</v>
          </cell>
        </row>
        <row r="282">
          <cell r="A282" t="str">
            <v>BDAFX</v>
          </cell>
        </row>
        <row r="283">
          <cell r="A283" t="str">
            <v>BDAGJ</v>
          </cell>
        </row>
        <row r="284">
          <cell r="A284" t="str">
            <v>BDAGK</v>
          </cell>
        </row>
        <row r="285">
          <cell r="A285" t="str">
            <v>BDAGL</v>
          </cell>
        </row>
        <row r="286">
          <cell r="A286" t="str">
            <v>BDAGM</v>
          </cell>
        </row>
        <row r="287">
          <cell r="A287" t="str">
            <v>BDAGN</v>
          </cell>
        </row>
        <row r="288">
          <cell r="A288" t="str">
            <v>BDAGX</v>
          </cell>
        </row>
        <row r="289">
          <cell r="A289" t="str">
            <v>BDAHJ</v>
          </cell>
        </row>
        <row r="290">
          <cell r="A290" t="str">
            <v>BDAHK</v>
          </cell>
        </row>
        <row r="291">
          <cell r="A291" t="str">
            <v>BDAHL</v>
          </cell>
        </row>
        <row r="292">
          <cell r="A292" t="str">
            <v>BDAHM</v>
          </cell>
        </row>
        <row r="293">
          <cell r="A293" t="str">
            <v>BDAHN</v>
          </cell>
        </row>
        <row r="294">
          <cell r="A294" t="str">
            <v>BDAHX</v>
          </cell>
        </row>
        <row r="295">
          <cell r="A295" t="str">
            <v>BDAIJ</v>
          </cell>
        </row>
        <row r="296">
          <cell r="A296" t="str">
            <v>BDAIK</v>
          </cell>
        </row>
        <row r="297">
          <cell r="A297" t="str">
            <v>BDAIL</v>
          </cell>
        </row>
        <row r="298">
          <cell r="A298" t="str">
            <v>BDAIM</v>
          </cell>
        </row>
        <row r="299">
          <cell r="A299" t="str">
            <v>BDAIN</v>
          </cell>
        </row>
        <row r="300">
          <cell r="A300" t="str">
            <v>BDAIX</v>
          </cell>
        </row>
        <row r="301">
          <cell r="A301" t="str">
            <v>BDARJ</v>
          </cell>
        </row>
        <row r="302">
          <cell r="A302" t="str">
            <v>BDARK</v>
          </cell>
        </row>
        <row r="303">
          <cell r="A303" t="str">
            <v>BDARL</v>
          </cell>
        </row>
        <row r="304">
          <cell r="A304" t="str">
            <v>BDARM</v>
          </cell>
        </row>
        <row r="305">
          <cell r="A305" t="str">
            <v>BDARN</v>
          </cell>
        </row>
        <row r="306">
          <cell r="A306" t="str">
            <v>BDARX</v>
          </cell>
        </row>
        <row r="307">
          <cell r="A307" t="str">
            <v>BDAXJ</v>
          </cell>
        </row>
        <row r="308">
          <cell r="A308" t="str">
            <v>BDAXK</v>
          </cell>
        </row>
        <row r="309">
          <cell r="A309" t="str">
            <v>BDAXL</v>
          </cell>
        </row>
        <row r="310">
          <cell r="A310" t="str">
            <v>BDAXM</v>
          </cell>
        </row>
        <row r="311">
          <cell r="A311" t="str">
            <v>BDAXN</v>
          </cell>
        </row>
        <row r="312">
          <cell r="A312" t="str">
            <v>BDAXX</v>
          </cell>
        </row>
        <row r="313">
          <cell r="A313" t="str">
            <v>BDPEJ</v>
          </cell>
        </row>
        <row r="314">
          <cell r="A314" t="str">
            <v>BDPEK</v>
          </cell>
        </row>
        <row r="315">
          <cell r="A315" t="str">
            <v>BDPEL</v>
          </cell>
        </row>
        <row r="316">
          <cell r="A316" t="str">
            <v>BDPEM</v>
          </cell>
        </row>
        <row r="317">
          <cell r="A317" t="str">
            <v>BDPEN</v>
          </cell>
        </row>
        <row r="318">
          <cell r="A318" t="str">
            <v>BDPEX</v>
          </cell>
        </row>
        <row r="319">
          <cell r="A319" t="str">
            <v>BDPFJ</v>
          </cell>
        </row>
        <row r="320">
          <cell r="A320" t="str">
            <v>BDPFK</v>
          </cell>
        </row>
        <row r="321">
          <cell r="A321" t="str">
            <v>BDPFL</v>
          </cell>
        </row>
        <row r="322">
          <cell r="A322" t="str">
            <v>BDPFM</v>
          </cell>
        </row>
        <row r="323">
          <cell r="A323" t="str">
            <v>BDPFN</v>
          </cell>
        </row>
        <row r="324">
          <cell r="A324" t="str">
            <v>BDPFX</v>
          </cell>
        </row>
        <row r="325">
          <cell r="A325" t="str">
            <v>BDPGJ</v>
          </cell>
        </row>
        <row r="326">
          <cell r="A326" t="str">
            <v>BDPGK</v>
          </cell>
        </row>
        <row r="327">
          <cell r="A327" t="str">
            <v>BDPGL</v>
          </cell>
        </row>
        <row r="328">
          <cell r="A328" t="str">
            <v>BDPGM</v>
          </cell>
        </row>
        <row r="329">
          <cell r="A329" t="str">
            <v>BDPGN</v>
          </cell>
        </row>
        <row r="330">
          <cell r="A330" t="str">
            <v>BDPGX</v>
          </cell>
        </row>
        <row r="331">
          <cell r="A331" t="str">
            <v>BDPHJ</v>
          </cell>
        </row>
        <row r="332">
          <cell r="A332" t="str">
            <v>BDPHK</v>
          </cell>
        </row>
        <row r="333">
          <cell r="A333" t="str">
            <v>BDPHL</v>
          </cell>
        </row>
        <row r="334">
          <cell r="A334" t="str">
            <v>BDPHM</v>
          </cell>
        </row>
        <row r="335">
          <cell r="A335" t="str">
            <v>BDPHN</v>
          </cell>
        </row>
        <row r="336">
          <cell r="A336" t="str">
            <v>BDPHX</v>
          </cell>
        </row>
        <row r="337">
          <cell r="A337" t="str">
            <v>BDPIJ</v>
          </cell>
        </row>
        <row r="338">
          <cell r="A338" t="str">
            <v>BDPIK</v>
          </cell>
        </row>
        <row r="339">
          <cell r="A339" t="str">
            <v>BDPIL</v>
          </cell>
        </row>
        <row r="340">
          <cell r="A340" t="str">
            <v>BDPIM</v>
          </cell>
        </row>
        <row r="341">
          <cell r="A341" t="str">
            <v>BDPIN</v>
          </cell>
        </row>
        <row r="342">
          <cell r="A342" t="str">
            <v>BDPIX</v>
          </cell>
        </row>
        <row r="343">
          <cell r="A343" t="str">
            <v>BDPRJ</v>
          </cell>
        </row>
        <row r="344">
          <cell r="A344" t="str">
            <v>BDPRK</v>
          </cell>
        </row>
        <row r="345">
          <cell r="A345" t="str">
            <v>BDPRL</v>
          </cell>
        </row>
        <row r="346">
          <cell r="A346" t="str">
            <v>BDPRM</v>
          </cell>
        </row>
        <row r="347">
          <cell r="A347" t="str">
            <v>BDPRN</v>
          </cell>
        </row>
        <row r="348">
          <cell r="A348" t="str">
            <v>BDPRX</v>
          </cell>
        </row>
        <row r="349">
          <cell r="A349" t="str">
            <v>BDPXJ</v>
          </cell>
        </row>
        <row r="350">
          <cell r="A350" t="str">
            <v>BDPXK</v>
          </cell>
        </row>
        <row r="351">
          <cell r="A351" t="str">
            <v>BDPXL</v>
          </cell>
        </row>
        <row r="352">
          <cell r="A352" t="str">
            <v>BDPXM</v>
          </cell>
        </row>
        <row r="353">
          <cell r="A353" t="str">
            <v>BDPXN</v>
          </cell>
        </row>
        <row r="354">
          <cell r="A354" t="str">
            <v>BDPXX</v>
          </cell>
        </row>
        <row r="355">
          <cell r="A355" t="str">
            <v>BDTEJ</v>
          </cell>
        </row>
        <row r="356">
          <cell r="A356" t="str">
            <v>BDTEK</v>
          </cell>
        </row>
        <row r="357">
          <cell r="A357" t="str">
            <v>BDTEL</v>
          </cell>
        </row>
        <row r="358">
          <cell r="A358" t="str">
            <v>BDTEM</v>
          </cell>
        </row>
        <row r="359">
          <cell r="A359" t="str">
            <v>BDTEN</v>
          </cell>
        </row>
        <row r="360">
          <cell r="A360" t="str">
            <v>BDTEX</v>
          </cell>
        </row>
        <row r="361">
          <cell r="A361" t="str">
            <v>BDTFJ</v>
          </cell>
        </row>
        <row r="362">
          <cell r="A362" t="str">
            <v>BDTFK</v>
          </cell>
        </row>
        <row r="363">
          <cell r="A363" t="str">
            <v>BDTFL</v>
          </cell>
        </row>
        <row r="364">
          <cell r="A364" t="str">
            <v>BDTFM</v>
          </cell>
        </row>
        <row r="365">
          <cell r="A365" t="str">
            <v>BDTFN</v>
          </cell>
        </row>
        <row r="366">
          <cell r="A366" t="str">
            <v>BDTFX</v>
          </cell>
        </row>
        <row r="367">
          <cell r="A367" t="str">
            <v>BDTGJ</v>
          </cell>
        </row>
        <row r="368">
          <cell r="A368" t="str">
            <v>BDTGK</v>
          </cell>
        </row>
        <row r="369">
          <cell r="A369" t="str">
            <v>BDTGL</v>
          </cell>
        </row>
        <row r="370">
          <cell r="A370" t="str">
            <v>BDTGM</v>
          </cell>
        </row>
        <row r="371">
          <cell r="A371" t="str">
            <v>BDTGN</v>
          </cell>
        </row>
        <row r="372">
          <cell r="A372" t="str">
            <v>BDTGX</v>
          </cell>
        </row>
        <row r="373">
          <cell r="A373" t="str">
            <v>BDTHJ</v>
          </cell>
        </row>
        <row r="374">
          <cell r="A374" t="str">
            <v>BDTHK</v>
          </cell>
        </row>
        <row r="375">
          <cell r="A375" t="str">
            <v>BDTHL</v>
          </cell>
        </row>
        <row r="376">
          <cell r="A376" t="str">
            <v>BDTHM</v>
          </cell>
        </row>
        <row r="377">
          <cell r="A377" t="str">
            <v>BDTHN</v>
          </cell>
        </row>
        <row r="378">
          <cell r="A378" t="str">
            <v>BDTHX</v>
          </cell>
        </row>
        <row r="379">
          <cell r="A379" t="str">
            <v>BDTIJ</v>
          </cell>
        </row>
        <row r="380">
          <cell r="A380" t="str">
            <v>BDTIK</v>
          </cell>
        </row>
        <row r="381">
          <cell r="A381" t="str">
            <v>BDTIL</v>
          </cell>
        </row>
        <row r="382">
          <cell r="A382" t="str">
            <v>BDTIM</v>
          </cell>
        </row>
        <row r="383">
          <cell r="A383" t="str">
            <v>BDTIN</v>
          </cell>
        </row>
        <row r="384">
          <cell r="A384" t="str">
            <v>BDTIX</v>
          </cell>
        </row>
        <row r="385">
          <cell r="A385" t="str">
            <v>BDTRJ</v>
          </cell>
        </row>
        <row r="386">
          <cell r="A386" t="str">
            <v>BDTRK</v>
          </cell>
        </row>
        <row r="387">
          <cell r="A387" t="str">
            <v>BDTRL</v>
          </cell>
        </row>
        <row r="388">
          <cell r="A388" t="str">
            <v>BDTRM</v>
          </cell>
        </row>
        <row r="389">
          <cell r="A389" t="str">
            <v>BDTRN</v>
          </cell>
        </row>
        <row r="390">
          <cell r="A390" t="str">
            <v>BDTRX</v>
          </cell>
        </row>
        <row r="391">
          <cell r="A391" t="str">
            <v>BDTXJ</v>
          </cell>
        </row>
        <row r="392">
          <cell r="A392" t="str">
            <v>BDTXK</v>
          </cell>
        </row>
        <row r="393">
          <cell r="A393" t="str">
            <v>BDTXL</v>
          </cell>
        </row>
        <row r="394">
          <cell r="A394" t="str">
            <v>BDTXM</v>
          </cell>
        </row>
        <row r="395">
          <cell r="A395" t="str">
            <v>BDTXN</v>
          </cell>
        </row>
        <row r="396">
          <cell r="A396" t="str">
            <v>BDTXX</v>
          </cell>
        </row>
        <row r="397">
          <cell r="A397" t="str">
            <v>BSAEJ</v>
          </cell>
        </row>
        <row r="398">
          <cell r="A398" t="str">
            <v>BSAEK</v>
          </cell>
        </row>
        <row r="399">
          <cell r="A399" t="str">
            <v>BSAEL</v>
          </cell>
        </row>
        <row r="400">
          <cell r="A400" t="str">
            <v>BSAEM</v>
          </cell>
        </row>
        <row r="401">
          <cell r="A401" t="str">
            <v>BSAEN</v>
          </cell>
        </row>
        <row r="402">
          <cell r="A402" t="str">
            <v>BSAEX</v>
          </cell>
        </row>
        <row r="403">
          <cell r="A403" t="str">
            <v>BSAFJ</v>
          </cell>
        </row>
        <row r="404">
          <cell r="A404" t="str">
            <v>BSAFK</v>
          </cell>
        </row>
        <row r="405">
          <cell r="A405" t="str">
            <v>BSAFL</v>
          </cell>
        </row>
        <row r="406">
          <cell r="A406" t="str">
            <v>BSAFM</v>
          </cell>
        </row>
        <row r="407">
          <cell r="A407" t="str">
            <v>BSAFN</v>
          </cell>
        </row>
        <row r="408">
          <cell r="A408" t="str">
            <v>BSAFX</v>
          </cell>
        </row>
        <row r="409">
          <cell r="A409" t="str">
            <v>BSAGJ</v>
          </cell>
        </row>
        <row r="410">
          <cell r="A410" t="str">
            <v>BSAGK</v>
          </cell>
        </row>
        <row r="411">
          <cell r="A411" t="str">
            <v>BSAGL</v>
          </cell>
        </row>
        <row r="412">
          <cell r="A412" t="str">
            <v>BSAGM</v>
          </cell>
        </row>
        <row r="413">
          <cell r="A413" t="str">
            <v>BSAGN</v>
          </cell>
        </row>
        <row r="414">
          <cell r="A414" t="str">
            <v>BSAGX</v>
          </cell>
        </row>
        <row r="415">
          <cell r="A415" t="str">
            <v>BSAHJ</v>
          </cell>
        </row>
        <row r="416">
          <cell r="A416" t="str">
            <v>BSAHK</v>
          </cell>
        </row>
        <row r="417">
          <cell r="A417" t="str">
            <v>BSAHL</v>
          </cell>
        </row>
        <row r="418">
          <cell r="A418" t="str">
            <v>BSAHM</v>
          </cell>
        </row>
        <row r="419">
          <cell r="A419" t="str">
            <v>BSAHN</v>
          </cell>
        </row>
        <row r="420">
          <cell r="A420" t="str">
            <v>BSAHX</v>
          </cell>
        </row>
        <row r="421">
          <cell r="A421" t="str">
            <v>BSAIJ</v>
          </cell>
        </row>
        <row r="422">
          <cell r="A422" t="str">
            <v>BSAIK</v>
          </cell>
        </row>
        <row r="423">
          <cell r="A423" t="str">
            <v>BSAIL</v>
          </cell>
        </row>
        <row r="424">
          <cell r="A424" t="str">
            <v>BSAIM</v>
          </cell>
        </row>
        <row r="425">
          <cell r="A425" t="str">
            <v>BSAIN</v>
          </cell>
        </row>
        <row r="426">
          <cell r="A426" t="str">
            <v>BSAIX</v>
          </cell>
        </row>
        <row r="427">
          <cell r="A427" t="str">
            <v>BSARJ</v>
          </cell>
        </row>
        <row r="428">
          <cell r="A428" t="str">
            <v>BSARK</v>
          </cell>
        </row>
        <row r="429">
          <cell r="A429" t="str">
            <v>BSARL</v>
          </cell>
        </row>
        <row r="430">
          <cell r="A430" t="str">
            <v>BSARM</v>
          </cell>
        </row>
        <row r="431">
          <cell r="A431" t="str">
            <v>BSARN</v>
          </cell>
        </row>
        <row r="432">
          <cell r="A432" t="str">
            <v>BSARX</v>
          </cell>
        </row>
        <row r="433">
          <cell r="A433" t="str">
            <v>BSAXJ</v>
          </cell>
        </row>
        <row r="434">
          <cell r="A434" t="str">
            <v>BSAXK</v>
          </cell>
        </row>
        <row r="435">
          <cell r="A435" t="str">
            <v>BSAXL</v>
          </cell>
        </row>
        <row r="436">
          <cell r="A436" t="str">
            <v>BSAXM</v>
          </cell>
        </row>
        <row r="437">
          <cell r="A437" t="str">
            <v>BSAXN</v>
          </cell>
        </row>
        <row r="438">
          <cell r="A438" t="str">
            <v>BSAXX</v>
          </cell>
        </row>
        <row r="439">
          <cell r="A439" t="str">
            <v>BSPEJ</v>
          </cell>
        </row>
        <row r="440">
          <cell r="A440" t="str">
            <v>BSPEK</v>
          </cell>
        </row>
        <row r="441">
          <cell r="A441" t="str">
            <v>BSPEL</v>
          </cell>
        </row>
        <row r="442">
          <cell r="A442" t="str">
            <v>BSPEM</v>
          </cell>
        </row>
        <row r="443">
          <cell r="A443" t="str">
            <v>BSPEN</v>
          </cell>
        </row>
        <row r="444">
          <cell r="A444" t="str">
            <v>BSPEX</v>
          </cell>
        </row>
        <row r="445">
          <cell r="A445" t="str">
            <v>BSPFJ</v>
          </cell>
        </row>
        <row r="446">
          <cell r="A446" t="str">
            <v>BSPFK</v>
          </cell>
        </row>
        <row r="447">
          <cell r="A447" t="str">
            <v>BSPFL</v>
          </cell>
        </row>
        <row r="448">
          <cell r="A448" t="str">
            <v>BSPFM</v>
          </cell>
        </row>
        <row r="449">
          <cell r="A449" t="str">
            <v>BSPFN</v>
          </cell>
        </row>
        <row r="450">
          <cell r="A450" t="str">
            <v>BSPFX</v>
          </cell>
        </row>
        <row r="451">
          <cell r="A451" t="str">
            <v>BSPGJ</v>
          </cell>
        </row>
        <row r="452">
          <cell r="A452" t="str">
            <v>BSPGK</v>
          </cell>
        </row>
        <row r="453">
          <cell r="A453" t="str">
            <v>BSPGL</v>
          </cell>
        </row>
        <row r="454">
          <cell r="A454" t="str">
            <v>BSPGM</v>
          </cell>
        </row>
        <row r="455">
          <cell r="A455" t="str">
            <v>BSPGN</v>
          </cell>
        </row>
        <row r="456">
          <cell r="A456" t="str">
            <v>BSPGX</v>
          </cell>
        </row>
        <row r="457">
          <cell r="A457" t="str">
            <v>BSPHJ</v>
          </cell>
        </row>
        <row r="458">
          <cell r="A458" t="str">
            <v>BSPHK</v>
          </cell>
        </row>
        <row r="459">
          <cell r="A459" t="str">
            <v>BSPHL</v>
          </cell>
        </row>
        <row r="460">
          <cell r="A460" t="str">
            <v>BSPHM</v>
          </cell>
        </row>
        <row r="461">
          <cell r="A461" t="str">
            <v>BSPHN</v>
          </cell>
        </row>
        <row r="462">
          <cell r="A462" t="str">
            <v>BSPHX</v>
          </cell>
        </row>
        <row r="463">
          <cell r="A463" t="str">
            <v>BSPIJ</v>
          </cell>
        </row>
        <row r="464">
          <cell r="A464" t="str">
            <v>BSPIK</v>
          </cell>
        </row>
        <row r="465">
          <cell r="A465" t="str">
            <v>BSPIL</v>
          </cell>
        </row>
        <row r="466">
          <cell r="A466" t="str">
            <v>BSPIM</v>
          </cell>
        </row>
        <row r="467">
          <cell r="A467" t="str">
            <v>BSPIN</v>
          </cell>
        </row>
        <row r="468">
          <cell r="A468" t="str">
            <v>BSPIX</v>
          </cell>
        </row>
        <row r="469">
          <cell r="A469" t="str">
            <v>BSPRJ</v>
          </cell>
        </row>
        <row r="470">
          <cell r="A470" t="str">
            <v>BSPRK</v>
          </cell>
        </row>
        <row r="471">
          <cell r="A471" t="str">
            <v>BSPRL</v>
          </cell>
        </row>
        <row r="472">
          <cell r="A472" t="str">
            <v>BSPRM</v>
          </cell>
        </row>
        <row r="473">
          <cell r="A473" t="str">
            <v>BSPRN</v>
          </cell>
        </row>
        <row r="474">
          <cell r="A474" t="str">
            <v>BSPRX</v>
          </cell>
        </row>
        <row r="475">
          <cell r="A475" t="str">
            <v>BSPXJ</v>
          </cell>
        </row>
        <row r="476">
          <cell r="A476" t="str">
            <v>BSPXK</v>
          </cell>
        </row>
        <row r="477">
          <cell r="A477" t="str">
            <v>BSPXL</v>
          </cell>
        </row>
        <row r="478">
          <cell r="A478" t="str">
            <v>BSPXM</v>
          </cell>
        </row>
        <row r="479">
          <cell r="A479" t="str">
            <v>BSPXN</v>
          </cell>
        </row>
        <row r="480">
          <cell r="A480" t="str">
            <v>BSPXX</v>
          </cell>
        </row>
        <row r="481">
          <cell r="A481" t="str">
            <v>BSTEJ</v>
          </cell>
        </row>
        <row r="482">
          <cell r="A482" t="str">
            <v>BSTEK</v>
          </cell>
        </row>
        <row r="483">
          <cell r="A483" t="str">
            <v>BSTEL</v>
          </cell>
        </row>
        <row r="484">
          <cell r="A484" t="str">
            <v>BSTEM</v>
          </cell>
        </row>
        <row r="485">
          <cell r="A485" t="str">
            <v>BSTEN</v>
          </cell>
        </row>
        <row r="486">
          <cell r="A486" t="str">
            <v>BSTEX</v>
          </cell>
        </row>
        <row r="487">
          <cell r="A487" t="str">
            <v>BSTFJ</v>
          </cell>
        </row>
        <row r="488">
          <cell r="A488" t="str">
            <v>BSTFK</v>
          </cell>
        </row>
        <row r="489">
          <cell r="A489" t="str">
            <v>BSTFL</v>
          </cell>
        </row>
        <row r="490">
          <cell r="A490" t="str">
            <v>BSTFM</v>
          </cell>
        </row>
        <row r="491">
          <cell r="A491" t="str">
            <v>BSTFN</v>
          </cell>
        </row>
        <row r="492">
          <cell r="A492" t="str">
            <v>BSTFX</v>
          </cell>
        </row>
        <row r="493">
          <cell r="A493" t="str">
            <v>BSTGJ</v>
          </cell>
        </row>
        <row r="494">
          <cell r="A494" t="str">
            <v>BSTGK</v>
          </cell>
        </row>
        <row r="495">
          <cell r="A495" t="str">
            <v>BSTGL</v>
          </cell>
        </row>
        <row r="496">
          <cell r="A496" t="str">
            <v>BSTGM</v>
          </cell>
        </row>
        <row r="497">
          <cell r="A497" t="str">
            <v>BSTGN</v>
          </cell>
        </row>
        <row r="498">
          <cell r="A498" t="str">
            <v>BSTGX</v>
          </cell>
        </row>
        <row r="499">
          <cell r="A499" t="str">
            <v>BSTHJ</v>
          </cell>
        </row>
        <row r="500">
          <cell r="A500" t="str">
            <v>BSTHK</v>
          </cell>
        </row>
        <row r="501">
          <cell r="A501" t="str">
            <v>BSTHL</v>
          </cell>
        </row>
        <row r="502">
          <cell r="A502" t="str">
            <v>BSTHM</v>
          </cell>
        </row>
        <row r="503">
          <cell r="A503" t="str">
            <v>BSTHN</v>
          </cell>
        </row>
        <row r="504">
          <cell r="A504" t="str">
            <v>BSTHX</v>
          </cell>
        </row>
        <row r="505">
          <cell r="A505" t="str">
            <v>BSTIJ</v>
          </cell>
        </row>
        <row r="506">
          <cell r="A506" t="str">
            <v>BSTIK</v>
          </cell>
        </row>
        <row r="507">
          <cell r="A507" t="str">
            <v>BSTIL</v>
          </cell>
        </row>
        <row r="508">
          <cell r="A508" t="str">
            <v>BSTIM</v>
          </cell>
        </row>
        <row r="509">
          <cell r="A509" t="str">
            <v>BSTIN</v>
          </cell>
        </row>
        <row r="510">
          <cell r="A510" t="str">
            <v>BSTIX</v>
          </cell>
        </row>
        <row r="511">
          <cell r="A511" t="str">
            <v>BSTRJ</v>
          </cell>
        </row>
        <row r="512">
          <cell r="A512" t="str">
            <v>BSTRK</v>
          </cell>
        </row>
        <row r="513">
          <cell r="A513" t="str">
            <v>BSTRL</v>
          </cell>
        </row>
        <row r="514">
          <cell r="A514" t="str">
            <v>BSTRM</v>
          </cell>
        </row>
        <row r="515">
          <cell r="A515" t="str">
            <v>BSTRN</v>
          </cell>
        </row>
        <row r="516">
          <cell r="A516" t="str">
            <v>BSTRX</v>
          </cell>
        </row>
        <row r="517">
          <cell r="A517" t="str">
            <v>BSTXJ</v>
          </cell>
        </row>
        <row r="518">
          <cell r="A518" t="str">
            <v>BSTXK</v>
          </cell>
        </row>
        <row r="519">
          <cell r="A519" t="str">
            <v>BSTXL</v>
          </cell>
        </row>
        <row r="520">
          <cell r="A520" t="str">
            <v>BSTXM</v>
          </cell>
        </row>
        <row r="521">
          <cell r="A521" t="str">
            <v>BSTXN</v>
          </cell>
        </row>
        <row r="522">
          <cell r="A522" t="str">
            <v>BSTXX</v>
          </cell>
        </row>
        <row r="523">
          <cell r="A523" t="str">
            <v>BTAEJ</v>
          </cell>
        </row>
        <row r="524">
          <cell r="A524" t="str">
            <v>BTAEK</v>
          </cell>
        </row>
        <row r="525">
          <cell r="A525" t="str">
            <v>BTAEL</v>
          </cell>
        </row>
        <row r="526">
          <cell r="A526" t="str">
            <v>BTAEM</v>
          </cell>
        </row>
        <row r="527">
          <cell r="A527" t="str">
            <v>BTAEN</v>
          </cell>
        </row>
        <row r="528">
          <cell r="A528" t="str">
            <v>BTAEX</v>
          </cell>
        </row>
        <row r="529">
          <cell r="A529" t="str">
            <v>BTAFJ</v>
          </cell>
        </row>
        <row r="530">
          <cell r="A530" t="str">
            <v>BTAFK</v>
          </cell>
        </row>
        <row r="531">
          <cell r="A531" t="str">
            <v>BTAFL</v>
          </cell>
        </row>
        <row r="532">
          <cell r="A532" t="str">
            <v>BTAFM</v>
          </cell>
        </row>
        <row r="533">
          <cell r="A533" t="str">
            <v>BTAFN</v>
          </cell>
        </row>
        <row r="534">
          <cell r="A534" t="str">
            <v>BTAFX</v>
          </cell>
        </row>
        <row r="535">
          <cell r="A535" t="str">
            <v>BTAGJ</v>
          </cell>
        </row>
        <row r="536">
          <cell r="A536" t="str">
            <v>BTAGK</v>
          </cell>
        </row>
        <row r="537">
          <cell r="A537" t="str">
            <v>BTAGL</v>
          </cell>
        </row>
        <row r="538">
          <cell r="A538" t="str">
            <v>BTAGM</v>
          </cell>
        </row>
        <row r="539">
          <cell r="A539" t="str">
            <v>BTAGN</v>
          </cell>
        </row>
        <row r="540">
          <cell r="A540" t="str">
            <v>BTAGX</v>
          </cell>
        </row>
        <row r="541">
          <cell r="A541" t="str">
            <v>BTAHJ</v>
          </cell>
        </row>
        <row r="542">
          <cell r="A542" t="str">
            <v>BTAHK</v>
          </cell>
        </row>
        <row r="543">
          <cell r="A543" t="str">
            <v>BTAHL</v>
          </cell>
        </row>
        <row r="544">
          <cell r="A544" t="str">
            <v>BTAHM</v>
          </cell>
        </row>
        <row r="545">
          <cell r="A545" t="str">
            <v>BTAHN</v>
          </cell>
        </row>
        <row r="546">
          <cell r="A546" t="str">
            <v>BTAHX</v>
          </cell>
        </row>
        <row r="547">
          <cell r="A547" t="str">
            <v>BTAIJ</v>
          </cell>
        </row>
        <row r="548">
          <cell r="A548" t="str">
            <v>BTAIK</v>
          </cell>
        </row>
        <row r="549">
          <cell r="A549" t="str">
            <v>BTAIL</v>
          </cell>
        </row>
        <row r="550">
          <cell r="A550" t="str">
            <v>BTAIM</v>
          </cell>
        </row>
        <row r="551">
          <cell r="A551" t="str">
            <v>BTAIN</v>
          </cell>
        </row>
        <row r="552">
          <cell r="A552" t="str">
            <v>BTAIX</v>
          </cell>
        </row>
        <row r="553">
          <cell r="A553" t="str">
            <v>BTARJ</v>
          </cell>
        </row>
        <row r="554">
          <cell r="A554" t="str">
            <v>BTARK</v>
          </cell>
        </row>
        <row r="555">
          <cell r="A555" t="str">
            <v>BTARL</v>
          </cell>
        </row>
        <row r="556">
          <cell r="A556" t="str">
            <v>BTARM</v>
          </cell>
        </row>
        <row r="557">
          <cell r="A557" t="str">
            <v>BTARN</v>
          </cell>
        </row>
        <row r="558">
          <cell r="A558" t="str">
            <v>BTARX</v>
          </cell>
        </row>
        <row r="559">
          <cell r="A559" t="str">
            <v>BTAXJ</v>
          </cell>
        </row>
        <row r="560">
          <cell r="A560" t="str">
            <v>BTAXK</v>
          </cell>
        </row>
        <row r="561">
          <cell r="A561" t="str">
            <v>BTAXL</v>
          </cell>
        </row>
        <row r="562">
          <cell r="A562" t="str">
            <v>BTAXM</v>
          </cell>
        </row>
        <row r="563">
          <cell r="A563" t="str">
            <v>BTAXN</v>
          </cell>
        </row>
        <row r="564">
          <cell r="A564" t="str">
            <v>BTAXX</v>
          </cell>
        </row>
        <row r="565">
          <cell r="A565" t="str">
            <v>BTPEJ</v>
          </cell>
        </row>
        <row r="566">
          <cell r="A566" t="str">
            <v>BTPEK</v>
          </cell>
        </row>
        <row r="567">
          <cell r="A567" t="str">
            <v>BTPEL</v>
          </cell>
        </row>
        <row r="568">
          <cell r="A568" t="str">
            <v>BTPEM</v>
          </cell>
        </row>
        <row r="569">
          <cell r="A569" t="str">
            <v>BTPEN</v>
          </cell>
        </row>
        <row r="570">
          <cell r="A570" t="str">
            <v>BTPEX</v>
          </cell>
        </row>
        <row r="571">
          <cell r="A571" t="str">
            <v>BTPFJ</v>
          </cell>
        </row>
        <row r="572">
          <cell r="A572" t="str">
            <v>BTPFK</v>
          </cell>
        </row>
        <row r="573">
          <cell r="A573" t="str">
            <v>BTPFL</v>
          </cell>
        </row>
        <row r="574">
          <cell r="A574" t="str">
            <v>BTPFM</v>
          </cell>
        </row>
        <row r="575">
          <cell r="A575" t="str">
            <v>BTPFN</v>
          </cell>
        </row>
        <row r="576">
          <cell r="A576" t="str">
            <v>BTPFX</v>
          </cell>
        </row>
        <row r="577">
          <cell r="A577" t="str">
            <v>BTPGJ</v>
          </cell>
        </row>
        <row r="578">
          <cell r="A578" t="str">
            <v>BTPGK</v>
          </cell>
        </row>
        <row r="579">
          <cell r="A579" t="str">
            <v>BTPGL</v>
          </cell>
        </row>
        <row r="580">
          <cell r="A580" t="str">
            <v>BTPGM</v>
          </cell>
        </row>
        <row r="581">
          <cell r="A581" t="str">
            <v>BTPGN</v>
          </cell>
        </row>
        <row r="582">
          <cell r="A582" t="str">
            <v>BTPGX</v>
          </cell>
        </row>
        <row r="583">
          <cell r="A583" t="str">
            <v>BTPHJ</v>
          </cell>
        </row>
        <row r="584">
          <cell r="A584" t="str">
            <v>BTPHK</v>
          </cell>
        </row>
        <row r="585">
          <cell r="A585" t="str">
            <v>BTPHL</v>
          </cell>
        </row>
        <row r="586">
          <cell r="A586" t="str">
            <v>BTPHM</v>
          </cell>
        </row>
        <row r="587">
          <cell r="A587" t="str">
            <v>BTPHN</v>
          </cell>
        </row>
        <row r="588">
          <cell r="A588" t="str">
            <v>BTPHX</v>
          </cell>
        </row>
        <row r="589">
          <cell r="A589" t="str">
            <v>BTPIJ</v>
          </cell>
        </row>
        <row r="590">
          <cell r="A590" t="str">
            <v>BTPIK</v>
          </cell>
        </row>
        <row r="591">
          <cell r="A591" t="str">
            <v>BTPIL</v>
          </cell>
        </row>
        <row r="592">
          <cell r="A592" t="str">
            <v>BTPIM</v>
          </cell>
        </row>
        <row r="593">
          <cell r="A593" t="str">
            <v>BTPIN</v>
          </cell>
        </row>
        <row r="594">
          <cell r="A594" t="str">
            <v>BTPIX</v>
          </cell>
        </row>
        <row r="595">
          <cell r="A595" t="str">
            <v>BTPRJ</v>
          </cell>
        </row>
        <row r="596">
          <cell r="A596" t="str">
            <v>BTPRK</v>
          </cell>
        </row>
        <row r="597">
          <cell r="A597" t="str">
            <v>BTPRL</v>
          </cell>
        </row>
        <row r="598">
          <cell r="A598" t="str">
            <v>BTPRM</v>
          </cell>
        </row>
        <row r="599">
          <cell r="A599" t="str">
            <v>BTPRN</v>
          </cell>
        </row>
        <row r="600">
          <cell r="A600" t="str">
            <v>BTPRX</v>
          </cell>
        </row>
        <row r="601">
          <cell r="A601" t="str">
            <v>BTPXJ</v>
          </cell>
        </row>
        <row r="602">
          <cell r="A602" t="str">
            <v>BTPXK</v>
          </cell>
        </row>
        <row r="603">
          <cell r="A603" t="str">
            <v>BTPXL</v>
          </cell>
        </row>
        <row r="604">
          <cell r="A604" t="str">
            <v>BTPXM</v>
          </cell>
        </row>
        <row r="605">
          <cell r="A605" t="str">
            <v>BTPXN</v>
          </cell>
        </row>
        <row r="606">
          <cell r="A606" t="str">
            <v>BTPXX</v>
          </cell>
        </row>
        <row r="607">
          <cell r="A607" t="str">
            <v>BTTEJ</v>
          </cell>
        </row>
        <row r="608">
          <cell r="A608" t="str">
            <v>BTTEK</v>
          </cell>
        </row>
        <row r="609">
          <cell r="A609" t="str">
            <v>BTTEL</v>
          </cell>
        </row>
        <row r="610">
          <cell r="A610" t="str">
            <v>BTTEM</v>
          </cell>
        </row>
        <row r="611">
          <cell r="A611" t="str">
            <v>BTTEN</v>
          </cell>
        </row>
        <row r="612">
          <cell r="A612" t="str">
            <v>BTTEX</v>
          </cell>
        </row>
        <row r="613">
          <cell r="A613" t="str">
            <v>BTTFJ</v>
          </cell>
        </row>
        <row r="614">
          <cell r="A614" t="str">
            <v>BTTFK</v>
          </cell>
        </row>
        <row r="615">
          <cell r="A615" t="str">
            <v>BTTFL</v>
          </cell>
        </row>
        <row r="616">
          <cell r="A616" t="str">
            <v>BTTFM</v>
          </cell>
        </row>
        <row r="617">
          <cell r="A617" t="str">
            <v>BTTFN</v>
          </cell>
        </row>
        <row r="618">
          <cell r="A618" t="str">
            <v>BTTFX</v>
          </cell>
        </row>
        <row r="619">
          <cell r="A619" t="str">
            <v>BTTGJ</v>
          </cell>
        </row>
        <row r="620">
          <cell r="A620" t="str">
            <v>BTTGK</v>
          </cell>
        </row>
        <row r="621">
          <cell r="A621" t="str">
            <v>BTTGL</v>
          </cell>
        </row>
        <row r="622">
          <cell r="A622" t="str">
            <v>BTTGM</v>
          </cell>
        </row>
        <row r="623">
          <cell r="A623" t="str">
            <v>BTTGN</v>
          </cell>
        </row>
        <row r="624">
          <cell r="A624" t="str">
            <v>BTTGX</v>
          </cell>
        </row>
        <row r="625">
          <cell r="A625" t="str">
            <v>BTTHJ</v>
          </cell>
        </row>
        <row r="626">
          <cell r="A626" t="str">
            <v>BTTHK</v>
          </cell>
        </row>
        <row r="627">
          <cell r="A627" t="str">
            <v>BTTHL</v>
          </cell>
        </row>
        <row r="628">
          <cell r="A628" t="str">
            <v>BTTHM</v>
          </cell>
        </row>
        <row r="629">
          <cell r="A629" t="str">
            <v>BTTHN</v>
          </cell>
        </row>
        <row r="630">
          <cell r="A630" t="str">
            <v>BTTHX</v>
          </cell>
        </row>
        <row r="631">
          <cell r="A631" t="str">
            <v>BTTIJ</v>
          </cell>
        </row>
        <row r="632">
          <cell r="A632" t="str">
            <v>BTTIK</v>
          </cell>
        </row>
        <row r="633">
          <cell r="A633" t="str">
            <v>BTTIL</v>
          </cell>
        </row>
        <row r="634">
          <cell r="A634" t="str">
            <v>BTTIM</v>
          </cell>
        </row>
        <row r="635">
          <cell r="A635" t="str">
            <v>BTTIN</v>
          </cell>
        </row>
        <row r="636">
          <cell r="A636" t="str">
            <v>BTTIX</v>
          </cell>
        </row>
        <row r="637">
          <cell r="A637" t="str">
            <v>BTTRJ</v>
          </cell>
        </row>
        <row r="638">
          <cell r="A638" t="str">
            <v>BTTRK</v>
          </cell>
        </row>
        <row r="639">
          <cell r="A639" t="str">
            <v>BTTRL</v>
          </cell>
        </row>
        <row r="640">
          <cell r="A640" t="str">
            <v>BTTRM</v>
          </cell>
        </row>
        <row r="641">
          <cell r="A641" t="str">
            <v>BTTRN</v>
          </cell>
        </row>
        <row r="642">
          <cell r="A642" t="str">
            <v>BTTRX</v>
          </cell>
        </row>
        <row r="643">
          <cell r="A643" t="str">
            <v>BTTXJ</v>
          </cell>
        </row>
        <row r="644">
          <cell r="A644" t="str">
            <v>BTTXK</v>
          </cell>
        </row>
        <row r="645">
          <cell r="A645" t="str">
            <v>BTTXL</v>
          </cell>
        </row>
        <row r="646">
          <cell r="A646" t="str">
            <v>BTTXM</v>
          </cell>
        </row>
        <row r="647">
          <cell r="A647" t="str">
            <v>BTTXN</v>
          </cell>
        </row>
        <row r="648">
          <cell r="A648" t="str">
            <v>BTTXX</v>
          </cell>
        </row>
        <row r="649">
          <cell r="A649" t="str">
            <v>UDAEJ</v>
          </cell>
        </row>
        <row r="650">
          <cell r="A650" t="str">
            <v>UDAEK</v>
          </cell>
        </row>
        <row r="651">
          <cell r="A651" t="str">
            <v>UDAEL</v>
          </cell>
        </row>
        <row r="652">
          <cell r="A652" t="str">
            <v>UDAEM</v>
          </cell>
        </row>
        <row r="653">
          <cell r="A653" t="str">
            <v>UDAEN</v>
          </cell>
        </row>
        <row r="654">
          <cell r="A654" t="str">
            <v>UDAEX</v>
          </cell>
        </row>
        <row r="655">
          <cell r="A655" t="str">
            <v>UDAFJ</v>
          </cell>
        </row>
        <row r="656">
          <cell r="A656" t="str">
            <v>UDAFK</v>
          </cell>
        </row>
        <row r="657">
          <cell r="A657" t="str">
            <v>UDAFL</v>
          </cell>
        </row>
        <row r="658">
          <cell r="A658" t="str">
            <v>UDAFM</v>
          </cell>
        </row>
        <row r="659">
          <cell r="A659" t="str">
            <v>UDAFN</v>
          </cell>
        </row>
        <row r="660">
          <cell r="A660" t="str">
            <v>UDAFX</v>
          </cell>
        </row>
        <row r="661">
          <cell r="A661" t="str">
            <v>UDAGJ</v>
          </cell>
        </row>
        <row r="662">
          <cell r="A662" t="str">
            <v>UDAGK</v>
          </cell>
        </row>
        <row r="663">
          <cell r="A663" t="str">
            <v>UDAGL</v>
          </cell>
        </row>
        <row r="664">
          <cell r="A664" t="str">
            <v>UDAGM</v>
          </cell>
        </row>
        <row r="665">
          <cell r="A665" t="str">
            <v>UDAGN</v>
          </cell>
        </row>
        <row r="666">
          <cell r="A666" t="str">
            <v>UDAGX</v>
          </cell>
        </row>
        <row r="667">
          <cell r="A667" t="str">
            <v>UDAHJ</v>
          </cell>
        </row>
        <row r="668">
          <cell r="A668" t="str">
            <v>UDAHK</v>
          </cell>
        </row>
        <row r="669">
          <cell r="A669" t="str">
            <v>UDAHL</v>
          </cell>
        </row>
        <row r="670">
          <cell r="A670" t="str">
            <v>UDAHM</v>
          </cell>
        </row>
        <row r="671">
          <cell r="A671" t="str">
            <v>UDAHN</v>
          </cell>
        </row>
        <row r="672">
          <cell r="A672" t="str">
            <v>UDAHX</v>
          </cell>
        </row>
        <row r="673">
          <cell r="A673" t="str">
            <v>UDAIJ</v>
          </cell>
        </row>
        <row r="674">
          <cell r="A674" t="str">
            <v>UDAIK</v>
          </cell>
        </row>
        <row r="675">
          <cell r="A675" t="str">
            <v>UDAIL</v>
          </cell>
        </row>
        <row r="676">
          <cell r="A676" t="str">
            <v>UDAIM</v>
          </cell>
        </row>
        <row r="677">
          <cell r="A677" t="str">
            <v>UDAIN</v>
          </cell>
        </row>
        <row r="678">
          <cell r="A678" t="str">
            <v>UDAIX</v>
          </cell>
        </row>
        <row r="679">
          <cell r="A679" t="str">
            <v>UDARJ</v>
          </cell>
        </row>
        <row r="680">
          <cell r="A680" t="str">
            <v>UDARK</v>
          </cell>
        </row>
        <row r="681">
          <cell r="A681" t="str">
            <v>UDARL</v>
          </cell>
        </row>
        <row r="682">
          <cell r="A682" t="str">
            <v>UDARM</v>
          </cell>
        </row>
        <row r="683">
          <cell r="A683" t="str">
            <v>UDARN</v>
          </cell>
        </row>
        <row r="684">
          <cell r="A684" t="str">
            <v>UDARX</v>
          </cell>
        </row>
        <row r="685">
          <cell r="A685" t="str">
            <v>UDAXJ</v>
          </cell>
        </row>
        <row r="686">
          <cell r="A686" t="str">
            <v>UDAXK</v>
          </cell>
        </row>
        <row r="687">
          <cell r="A687" t="str">
            <v>UDAXL</v>
          </cell>
        </row>
        <row r="688">
          <cell r="A688" t="str">
            <v>UDAXM</v>
          </cell>
        </row>
        <row r="689">
          <cell r="A689" t="str">
            <v>UDAXN</v>
          </cell>
        </row>
        <row r="690">
          <cell r="A690" t="str">
            <v>UDAXX</v>
          </cell>
        </row>
        <row r="691">
          <cell r="A691" t="str">
            <v>UDPEJ</v>
          </cell>
        </row>
        <row r="692">
          <cell r="A692" t="str">
            <v>UDPEK</v>
          </cell>
        </row>
        <row r="693">
          <cell r="A693" t="str">
            <v>UDPEL</v>
          </cell>
        </row>
        <row r="694">
          <cell r="A694" t="str">
            <v>UDPEM</v>
          </cell>
        </row>
        <row r="695">
          <cell r="A695" t="str">
            <v>UDPEN</v>
          </cell>
        </row>
        <row r="696">
          <cell r="A696" t="str">
            <v>UDPEX</v>
          </cell>
        </row>
        <row r="697">
          <cell r="A697" t="str">
            <v>UDPFJ</v>
          </cell>
        </row>
        <row r="698">
          <cell r="A698" t="str">
            <v>UDPFK</v>
          </cell>
        </row>
        <row r="699">
          <cell r="A699" t="str">
            <v>UDPFL</v>
          </cell>
        </row>
        <row r="700">
          <cell r="A700" t="str">
            <v>UDPFM</v>
          </cell>
        </row>
        <row r="701">
          <cell r="A701" t="str">
            <v>UDPFN</v>
          </cell>
        </row>
        <row r="702">
          <cell r="A702" t="str">
            <v>UDPFX</v>
          </cell>
        </row>
        <row r="703">
          <cell r="A703" t="str">
            <v>UDPGJ</v>
          </cell>
        </row>
        <row r="704">
          <cell r="A704" t="str">
            <v>UDPGK</v>
          </cell>
        </row>
        <row r="705">
          <cell r="A705" t="str">
            <v>UDPGL</v>
          </cell>
        </row>
        <row r="706">
          <cell r="A706" t="str">
            <v>UDPGM</v>
          </cell>
        </row>
        <row r="707">
          <cell r="A707" t="str">
            <v>UDPGN</v>
          </cell>
        </row>
        <row r="708">
          <cell r="A708" t="str">
            <v>UDPGX</v>
          </cell>
        </row>
        <row r="709">
          <cell r="A709" t="str">
            <v>UDPHJ</v>
          </cell>
        </row>
        <row r="710">
          <cell r="A710" t="str">
            <v>UDPHK</v>
          </cell>
        </row>
        <row r="711">
          <cell r="A711" t="str">
            <v>UDPHL</v>
          </cell>
        </row>
        <row r="712">
          <cell r="A712" t="str">
            <v>UDPHM</v>
          </cell>
        </row>
        <row r="713">
          <cell r="A713" t="str">
            <v>UDPHN</v>
          </cell>
        </row>
        <row r="714">
          <cell r="A714" t="str">
            <v>UDPHX</v>
          </cell>
        </row>
        <row r="715">
          <cell r="A715" t="str">
            <v>UDPIJ</v>
          </cell>
        </row>
        <row r="716">
          <cell r="A716" t="str">
            <v>UDPIK</v>
          </cell>
        </row>
        <row r="717">
          <cell r="A717" t="str">
            <v>UDPIL</v>
          </cell>
        </row>
        <row r="718">
          <cell r="A718" t="str">
            <v>UDPIM</v>
          </cell>
        </row>
        <row r="719">
          <cell r="A719" t="str">
            <v>UDPIN</v>
          </cell>
        </row>
        <row r="720">
          <cell r="A720" t="str">
            <v>UDPIX</v>
          </cell>
        </row>
        <row r="721">
          <cell r="A721" t="str">
            <v>UDPRJ</v>
          </cell>
        </row>
        <row r="722">
          <cell r="A722" t="str">
            <v>UDPRK</v>
          </cell>
        </row>
        <row r="723">
          <cell r="A723" t="str">
            <v>UDPRL</v>
          </cell>
        </row>
        <row r="724">
          <cell r="A724" t="str">
            <v>UDPRM</v>
          </cell>
        </row>
        <row r="725">
          <cell r="A725" t="str">
            <v>UDPRN</v>
          </cell>
        </row>
        <row r="726">
          <cell r="A726" t="str">
            <v>UDPRX</v>
          </cell>
        </row>
        <row r="727">
          <cell r="A727" t="str">
            <v>UDPXJ</v>
          </cell>
        </row>
        <row r="728">
          <cell r="A728" t="str">
            <v>UDPXK</v>
          </cell>
        </row>
        <row r="729">
          <cell r="A729" t="str">
            <v>UDPXL</v>
          </cell>
        </row>
        <row r="730">
          <cell r="A730" t="str">
            <v>UDPXM</v>
          </cell>
        </row>
        <row r="731">
          <cell r="A731" t="str">
            <v>UDPXN</v>
          </cell>
        </row>
        <row r="732">
          <cell r="A732" t="str">
            <v>UDPXX</v>
          </cell>
        </row>
        <row r="733">
          <cell r="A733" t="str">
            <v>UDTEJ</v>
          </cell>
        </row>
        <row r="734">
          <cell r="A734" t="str">
            <v>UDTEK</v>
          </cell>
        </row>
        <row r="735">
          <cell r="A735" t="str">
            <v>UDTEL</v>
          </cell>
        </row>
        <row r="736">
          <cell r="A736" t="str">
            <v>UDTEM</v>
          </cell>
        </row>
        <row r="737">
          <cell r="A737" t="str">
            <v>UDTEN</v>
          </cell>
        </row>
        <row r="738">
          <cell r="A738" t="str">
            <v>UDTEX</v>
          </cell>
        </row>
        <row r="739">
          <cell r="A739" t="str">
            <v>UDTFJ</v>
          </cell>
        </row>
        <row r="740">
          <cell r="A740" t="str">
            <v>UDTFK</v>
          </cell>
        </row>
        <row r="741">
          <cell r="A741" t="str">
            <v>UDTFL</v>
          </cell>
        </row>
        <row r="742">
          <cell r="A742" t="str">
            <v>UDTFM</v>
          </cell>
        </row>
        <row r="743">
          <cell r="A743" t="str">
            <v>UDTFN</v>
          </cell>
        </row>
        <row r="744">
          <cell r="A744" t="str">
            <v>UDTFX</v>
          </cell>
        </row>
        <row r="745">
          <cell r="A745" t="str">
            <v>UDTGJ</v>
          </cell>
        </row>
        <row r="746">
          <cell r="A746" t="str">
            <v>UDTGK</v>
          </cell>
        </row>
        <row r="747">
          <cell r="A747" t="str">
            <v>UDTGL</v>
          </cell>
        </row>
        <row r="748">
          <cell r="A748" t="str">
            <v>UDTGM</v>
          </cell>
        </row>
        <row r="749">
          <cell r="A749" t="str">
            <v>UDTGN</v>
          </cell>
        </row>
        <row r="750">
          <cell r="A750" t="str">
            <v>UDTGX</v>
          </cell>
        </row>
        <row r="751">
          <cell r="A751" t="str">
            <v>UDTHJ</v>
          </cell>
        </row>
        <row r="752">
          <cell r="A752" t="str">
            <v>UDTHK</v>
          </cell>
        </row>
        <row r="753">
          <cell r="A753" t="str">
            <v>UDTHL</v>
          </cell>
        </row>
        <row r="754">
          <cell r="A754" t="str">
            <v>UDTHM</v>
          </cell>
        </row>
        <row r="755">
          <cell r="A755" t="str">
            <v>UDTHN</v>
          </cell>
        </row>
        <row r="756">
          <cell r="A756" t="str">
            <v>UDTHX</v>
          </cell>
        </row>
        <row r="757">
          <cell r="A757" t="str">
            <v>UDTIJ</v>
          </cell>
        </row>
        <row r="758">
          <cell r="A758" t="str">
            <v>UDTIK</v>
          </cell>
        </row>
        <row r="759">
          <cell r="A759" t="str">
            <v>UDTIL</v>
          </cell>
        </row>
        <row r="760">
          <cell r="A760" t="str">
            <v>UDTIM</v>
          </cell>
        </row>
        <row r="761">
          <cell r="A761" t="str">
            <v>UDTIN</v>
          </cell>
        </row>
        <row r="762">
          <cell r="A762" t="str">
            <v>UDTIX</v>
          </cell>
        </row>
        <row r="763">
          <cell r="A763" t="str">
            <v>UDTRJ</v>
          </cell>
        </row>
        <row r="764">
          <cell r="A764" t="str">
            <v>UDTRK</v>
          </cell>
        </row>
        <row r="765">
          <cell r="A765" t="str">
            <v>UDTRL</v>
          </cell>
        </row>
        <row r="766">
          <cell r="A766" t="str">
            <v>UDTRM</v>
          </cell>
        </row>
        <row r="767">
          <cell r="A767" t="str">
            <v>UDTRN</v>
          </cell>
        </row>
        <row r="768">
          <cell r="A768" t="str">
            <v>UDTRX</v>
          </cell>
        </row>
        <row r="769">
          <cell r="A769" t="str">
            <v>UDTXJ</v>
          </cell>
        </row>
        <row r="770">
          <cell r="A770" t="str">
            <v>UDTXK</v>
          </cell>
        </row>
        <row r="771">
          <cell r="A771" t="str">
            <v>UDTXL</v>
          </cell>
        </row>
        <row r="772">
          <cell r="A772" t="str">
            <v>UDTXM</v>
          </cell>
        </row>
        <row r="773">
          <cell r="A773" t="str">
            <v>UDTXN</v>
          </cell>
        </row>
        <row r="774">
          <cell r="A774" t="str">
            <v>UDTXX</v>
          </cell>
        </row>
        <row r="775">
          <cell r="A775" t="str">
            <v>USAEJ</v>
          </cell>
        </row>
        <row r="776">
          <cell r="A776" t="str">
            <v>USAEK</v>
          </cell>
        </row>
        <row r="777">
          <cell r="A777" t="str">
            <v>USAEL</v>
          </cell>
        </row>
        <row r="778">
          <cell r="A778" t="str">
            <v>USAEM</v>
          </cell>
        </row>
        <row r="779">
          <cell r="A779" t="str">
            <v>USAEN</v>
          </cell>
        </row>
        <row r="780">
          <cell r="A780" t="str">
            <v>USAEX</v>
          </cell>
        </row>
        <row r="781">
          <cell r="A781" t="str">
            <v>USAFJ</v>
          </cell>
        </row>
        <row r="782">
          <cell r="A782" t="str">
            <v>USAFK</v>
          </cell>
        </row>
        <row r="783">
          <cell r="A783" t="str">
            <v>USAFL</v>
          </cell>
        </row>
        <row r="784">
          <cell r="A784" t="str">
            <v>USAFM</v>
          </cell>
        </row>
        <row r="785">
          <cell r="A785" t="str">
            <v>USAFN</v>
          </cell>
        </row>
        <row r="786">
          <cell r="A786" t="str">
            <v>USAFX</v>
          </cell>
        </row>
        <row r="787">
          <cell r="A787" t="str">
            <v>USAGJ</v>
          </cell>
        </row>
        <row r="788">
          <cell r="A788" t="str">
            <v>USAGK</v>
          </cell>
        </row>
        <row r="789">
          <cell r="A789" t="str">
            <v>USAGL</v>
          </cell>
        </row>
        <row r="790">
          <cell r="A790" t="str">
            <v>USAGM</v>
          </cell>
        </row>
        <row r="791">
          <cell r="A791" t="str">
            <v>USAGN</v>
          </cell>
        </row>
        <row r="792">
          <cell r="A792" t="str">
            <v>USAGX</v>
          </cell>
        </row>
        <row r="793">
          <cell r="A793" t="str">
            <v>USAHJ</v>
          </cell>
        </row>
        <row r="794">
          <cell r="A794" t="str">
            <v>USAHK</v>
          </cell>
        </row>
        <row r="795">
          <cell r="A795" t="str">
            <v>USAHL</v>
          </cell>
        </row>
        <row r="796">
          <cell r="A796" t="str">
            <v>USAHM</v>
          </cell>
        </row>
        <row r="797">
          <cell r="A797" t="str">
            <v>USAHN</v>
          </cell>
        </row>
        <row r="798">
          <cell r="A798" t="str">
            <v>USAHX</v>
          </cell>
        </row>
        <row r="799">
          <cell r="A799" t="str">
            <v>USAIJ</v>
          </cell>
        </row>
        <row r="800">
          <cell r="A800" t="str">
            <v>USAIK</v>
          </cell>
        </row>
        <row r="801">
          <cell r="A801" t="str">
            <v>USAIL</v>
          </cell>
        </row>
        <row r="802">
          <cell r="A802" t="str">
            <v>USAIM</v>
          </cell>
        </row>
        <row r="803">
          <cell r="A803" t="str">
            <v>USAIN</v>
          </cell>
        </row>
        <row r="804">
          <cell r="A804" t="str">
            <v>USAIX</v>
          </cell>
        </row>
        <row r="805">
          <cell r="A805" t="str">
            <v>USARJ</v>
          </cell>
        </row>
        <row r="806">
          <cell r="A806" t="str">
            <v>USARK</v>
          </cell>
        </row>
        <row r="807">
          <cell r="A807" t="str">
            <v>USARL</v>
          </cell>
        </row>
        <row r="808">
          <cell r="A808" t="str">
            <v>USARM</v>
          </cell>
        </row>
        <row r="809">
          <cell r="A809" t="str">
            <v>USARN</v>
          </cell>
        </row>
        <row r="810">
          <cell r="A810" t="str">
            <v>USARX</v>
          </cell>
        </row>
        <row r="811">
          <cell r="A811" t="str">
            <v>USAXJ</v>
          </cell>
        </row>
        <row r="812">
          <cell r="A812" t="str">
            <v>USAXK</v>
          </cell>
        </row>
        <row r="813">
          <cell r="A813" t="str">
            <v>USAXL</v>
          </cell>
        </row>
        <row r="814">
          <cell r="A814" t="str">
            <v>USAXM</v>
          </cell>
        </row>
        <row r="815">
          <cell r="A815" t="str">
            <v>USAXN</v>
          </cell>
        </row>
        <row r="816">
          <cell r="A816" t="str">
            <v>USAXX</v>
          </cell>
        </row>
        <row r="817">
          <cell r="A817" t="str">
            <v>USPEJ</v>
          </cell>
        </row>
        <row r="818">
          <cell r="A818" t="str">
            <v>USPEK</v>
          </cell>
        </row>
        <row r="819">
          <cell r="A819" t="str">
            <v>USPEL</v>
          </cell>
        </row>
        <row r="820">
          <cell r="A820" t="str">
            <v>USPEM</v>
          </cell>
        </row>
        <row r="821">
          <cell r="A821" t="str">
            <v>USPEN</v>
          </cell>
        </row>
        <row r="822">
          <cell r="A822" t="str">
            <v>USPEX</v>
          </cell>
        </row>
        <row r="823">
          <cell r="A823" t="str">
            <v>USPFJ</v>
          </cell>
        </row>
        <row r="824">
          <cell r="A824" t="str">
            <v>USPFK</v>
          </cell>
        </row>
        <row r="825">
          <cell r="A825" t="str">
            <v>USPFL</v>
          </cell>
        </row>
        <row r="826">
          <cell r="A826" t="str">
            <v>USPFM</v>
          </cell>
        </row>
        <row r="827">
          <cell r="A827" t="str">
            <v>USPFN</v>
          </cell>
        </row>
        <row r="828">
          <cell r="A828" t="str">
            <v>USPFX</v>
          </cell>
        </row>
        <row r="829">
          <cell r="A829" t="str">
            <v>USPGJ</v>
          </cell>
        </row>
        <row r="830">
          <cell r="A830" t="str">
            <v>USPGK</v>
          </cell>
        </row>
        <row r="831">
          <cell r="A831" t="str">
            <v>USPGL</v>
          </cell>
        </row>
        <row r="832">
          <cell r="A832" t="str">
            <v>USPGM</v>
          </cell>
        </row>
        <row r="833">
          <cell r="A833" t="str">
            <v>USPGN</v>
          </cell>
        </row>
        <row r="834">
          <cell r="A834" t="str">
            <v>USPGX</v>
          </cell>
        </row>
        <row r="835">
          <cell r="A835" t="str">
            <v>USPHJ</v>
          </cell>
        </row>
        <row r="836">
          <cell r="A836" t="str">
            <v>USPHK</v>
          </cell>
        </row>
        <row r="837">
          <cell r="A837" t="str">
            <v>USPHL</v>
          </cell>
        </row>
        <row r="838">
          <cell r="A838" t="str">
            <v>USPHM</v>
          </cell>
        </row>
        <row r="839">
          <cell r="A839" t="str">
            <v>USPHN</v>
          </cell>
        </row>
        <row r="840">
          <cell r="A840" t="str">
            <v>USPHX</v>
          </cell>
        </row>
        <row r="841">
          <cell r="A841" t="str">
            <v>USPIJ</v>
          </cell>
        </row>
        <row r="842">
          <cell r="A842" t="str">
            <v>USPIK</v>
          </cell>
        </row>
        <row r="843">
          <cell r="A843" t="str">
            <v>USPIL</v>
          </cell>
        </row>
        <row r="844">
          <cell r="A844" t="str">
            <v>USPIM</v>
          </cell>
        </row>
        <row r="845">
          <cell r="A845" t="str">
            <v>USPIN</v>
          </cell>
        </row>
        <row r="846">
          <cell r="A846" t="str">
            <v>USPIX</v>
          </cell>
        </row>
        <row r="847">
          <cell r="A847" t="str">
            <v>USPRJ</v>
          </cell>
        </row>
        <row r="848">
          <cell r="A848" t="str">
            <v>USPRK</v>
          </cell>
        </row>
        <row r="849">
          <cell r="A849" t="str">
            <v>USPRL</v>
          </cell>
        </row>
        <row r="850">
          <cell r="A850" t="str">
            <v>USPRM</v>
          </cell>
        </row>
        <row r="851">
          <cell r="A851" t="str">
            <v>USPRN</v>
          </cell>
        </row>
        <row r="852">
          <cell r="A852" t="str">
            <v>USPRX</v>
          </cell>
        </row>
        <row r="853">
          <cell r="A853" t="str">
            <v>USPXJ</v>
          </cell>
        </row>
        <row r="854">
          <cell r="A854" t="str">
            <v>USPXK</v>
          </cell>
        </row>
        <row r="855">
          <cell r="A855" t="str">
            <v>USPXL</v>
          </cell>
        </row>
        <row r="856">
          <cell r="A856" t="str">
            <v>USPXM</v>
          </cell>
        </row>
        <row r="857">
          <cell r="A857" t="str">
            <v>USPXN</v>
          </cell>
        </row>
        <row r="858">
          <cell r="A858" t="str">
            <v>USPXX</v>
          </cell>
        </row>
        <row r="859">
          <cell r="A859" t="str">
            <v>USTEJ</v>
          </cell>
        </row>
        <row r="860">
          <cell r="A860" t="str">
            <v>USTEK</v>
          </cell>
        </row>
        <row r="861">
          <cell r="A861" t="str">
            <v>USTEL</v>
          </cell>
        </row>
        <row r="862">
          <cell r="A862" t="str">
            <v>USTEM</v>
          </cell>
        </row>
        <row r="863">
          <cell r="A863" t="str">
            <v>USTEN</v>
          </cell>
        </row>
        <row r="864">
          <cell r="A864" t="str">
            <v>USTEX</v>
          </cell>
        </row>
        <row r="865">
          <cell r="A865" t="str">
            <v>USTFJ</v>
          </cell>
        </row>
        <row r="866">
          <cell r="A866" t="str">
            <v>USTFK</v>
          </cell>
        </row>
        <row r="867">
          <cell r="A867" t="str">
            <v>USTFL</v>
          </cell>
        </row>
        <row r="868">
          <cell r="A868" t="str">
            <v>USTFM</v>
          </cell>
        </row>
        <row r="869">
          <cell r="A869" t="str">
            <v>USTFN</v>
          </cell>
        </row>
        <row r="870">
          <cell r="A870" t="str">
            <v>USTFX</v>
          </cell>
        </row>
        <row r="871">
          <cell r="A871" t="str">
            <v>USTGJ</v>
          </cell>
        </row>
        <row r="872">
          <cell r="A872" t="str">
            <v>USTGK</v>
          </cell>
        </row>
        <row r="873">
          <cell r="A873" t="str">
            <v>USTGL</v>
          </cell>
        </row>
        <row r="874">
          <cell r="A874" t="str">
            <v>USTGM</v>
          </cell>
        </row>
        <row r="875">
          <cell r="A875" t="str">
            <v>USTGN</v>
          </cell>
        </row>
        <row r="876">
          <cell r="A876" t="str">
            <v>USTGX</v>
          </cell>
        </row>
        <row r="877">
          <cell r="A877" t="str">
            <v>USTHJ</v>
          </cell>
        </row>
        <row r="878">
          <cell r="A878" t="str">
            <v>USTHK</v>
          </cell>
        </row>
        <row r="879">
          <cell r="A879" t="str">
            <v>USTHL</v>
          </cell>
        </row>
        <row r="880">
          <cell r="A880" t="str">
            <v>USTHM</v>
          </cell>
        </row>
        <row r="881">
          <cell r="A881" t="str">
            <v>USTHN</v>
          </cell>
        </row>
        <row r="882">
          <cell r="A882" t="str">
            <v>USTHX</v>
          </cell>
        </row>
        <row r="883">
          <cell r="A883" t="str">
            <v>USTIJ</v>
          </cell>
        </row>
        <row r="884">
          <cell r="A884" t="str">
            <v>USTIK</v>
          </cell>
        </row>
        <row r="885">
          <cell r="A885" t="str">
            <v>USTIL</v>
          </cell>
        </row>
        <row r="886">
          <cell r="A886" t="str">
            <v>USTIM</v>
          </cell>
        </row>
        <row r="887">
          <cell r="A887" t="str">
            <v>USTIN</v>
          </cell>
        </row>
        <row r="888">
          <cell r="A888" t="str">
            <v>USTIX</v>
          </cell>
        </row>
        <row r="889">
          <cell r="A889" t="str">
            <v>USTRJ</v>
          </cell>
        </row>
        <row r="890">
          <cell r="A890" t="str">
            <v>USTRK</v>
          </cell>
        </row>
        <row r="891">
          <cell r="A891" t="str">
            <v>USTRL</v>
          </cell>
        </row>
        <row r="892">
          <cell r="A892" t="str">
            <v>USTRM</v>
          </cell>
        </row>
        <row r="893">
          <cell r="A893" t="str">
            <v>USTRN</v>
          </cell>
        </row>
        <row r="894">
          <cell r="A894" t="str">
            <v>USTRX</v>
          </cell>
        </row>
        <row r="895">
          <cell r="A895" t="str">
            <v>USTXJ</v>
          </cell>
        </row>
        <row r="896">
          <cell r="A896" t="str">
            <v>USTXK</v>
          </cell>
        </row>
        <row r="897">
          <cell r="A897" t="str">
            <v>USTXL</v>
          </cell>
        </row>
        <row r="898">
          <cell r="A898" t="str">
            <v>USTXM</v>
          </cell>
        </row>
        <row r="899">
          <cell r="A899" t="str">
            <v>USTXN</v>
          </cell>
        </row>
        <row r="900">
          <cell r="A900" t="str">
            <v>USTXX</v>
          </cell>
        </row>
        <row r="901">
          <cell r="A901" t="str">
            <v>UTAEJ</v>
          </cell>
        </row>
        <row r="902">
          <cell r="A902" t="str">
            <v>UTAEK</v>
          </cell>
        </row>
        <row r="903">
          <cell r="A903" t="str">
            <v>UTAEL</v>
          </cell>
        </row>
        <row r="904">
          <cell r="A904" t="str">
            <v>UTAEM</v>
          </cell>
        </row>
        <row r="905">
          <cell r="A905" t="str">
            <v>UTAEN</v>
          </cell>
        </row>
        <row r="906">
          <cell r="A906" t="str">
            <v>UTAEX</v>
          </cell>
        </row>
        <row r="907">
          <cell r="A907" t="str">
            <v>UTAFJ</v>
          </cell>
        </row>
        <row r="908">
          <cell r="A908" t="str">
            <v>UTAFK</v>
          </cell>
        </row>
        <row r="909">
          <cell r="A909" t="str">
            <v>UTAFL</v>
          </cell>
        </row>
        <row r="910">
          <cell r="A910" t="str">
            <v>UTAFM</v>
          </cell>
        </row>
        <row r="911">
          <cell r="A911" t="str">
            <v>UTAFN</v>
          </cell>
        </row>
        <row r="912">
          <cell r="A912" t="str">
            <v>UTAFX</v>
          </cell>
        </row>
        <row r="913">
          <cell r="A913" t="str">
            <v>UTAGJ</v>
          </cell>
        </row>
        <row r="914">
          <cell r="A914" t="str">
            <v>UTAGK</v>
          </cell>
        </row>
        <row r="915">
          <cell r="A915" t="str">
            <v>UTAGL</v>
          </cell>
        </row>
        <row r="916">
          <cell r="A916" t="str">
            <v>UTAGM</v>
          </cell>
        </row>
        <row r="917">
          <cell r="A917" t="str">
            <v>UTAGN</v>
          </cell>
        </row>
        <row r="918">
          <cell r="A918" t="str">
            <v>UTAGX</v>
          </cell>
        </row>
        <row r="919">
          <cell r="A919" t="str">
            <v>UTAHJ</v>
          </cell>
        </row>
        <row r="920">
          <cell r="A920" t="str">
            <v>UTAHK</v>
          </cell>
        </row>
        <row r="921">
          <cell r="A921" t="str">
            <v>UTAHL</v>
          </cell>
        </row>
        <row r="922">
          <cell r="A922" t="str">
            <v>UTAHM</v>
          </cell>
        </row>
        <row r="923">
          <cell r="A923" t="str">
            <v>UTAHN</v>
          </cell>
        </row>
        <row r="924">
          <cell r="A924" t="str">
            <v>UTAHX</v>
          </cell>
        </row>
        <row r="925">
          <cell r="A925" t="str">
            <v>UTAIJ</v>
          </cell>
        </row>
        <row r="926">
          <cell r="A926" t="str">
            <v>UTAIK</v>
          </cell>
        </row>
        <row r="927">
          <cell r="A927" t="str">
            <v>UTAIL</v>
          </cell>
        </row>
        <row r="928">
          <cell r="A928" t="str">
            <v>UTAIM</v>
          </cell>
        </row>
        <row r="929">
          <cell r="A929" t="str">
            <v>UTAIN</v>
          </cell>
        </row>
        <row r="930">
          <cell r="A930" t="str">
            <v>UTAIX</v>
          </cell>
        </row>
        <row r="931">
          <cell r="A931" t="str">
            <v>UTARJ</v>
          </cell>
        </row>
        <row r="932">
          <cell r="A932" t="str">
            <v>UTARK</v>
          </cell>
        </row>
        <row r="933">
          <cell r="A933" t="str">
            <v>UTARL</v>
          </cell>
        </row>
        <row r="934">
          <cell r="A934" t="str">
            <v>UTARM</v>
          </cell>
        </row>
        <row r="935">
          <cell r="A935" t="str">
            <v>UTARN</v>
          </cell>
        </row>
        <row r="936">
          <cell r="A936" t="str">
            <v>UTARX</v>
          </cell>
        </row>
        <row r="937">
          <cell r="A937" t="str">
            <v>UTAXJ</v>
          </cell>
        </row>
        <row r="938">
          <cell r="A938" t="str">
            <v>UTAXK</v>
          </cell>
        </row>
        <row r="939">
          <cell r="A939" t="str">
            <v>UTAXL</v>
          </cell>
        </row>
        <row r="940">
          <cell r="A940" t="str">
            <v>UTAXM</v>
          </cell>
        </row>
        <row r="941">
          <cell r="A941" t="str">
            <v>UTAXN</v>
          </cell>
        </row>
        <row r="942">
          <cell r="A942" t="str">
            <v>UTAXX</v>
          </cell>
        </row>
        <row r="943">
          <cell r="A943" t="str">
            <v>UTPEJ</v>
          </cell>
        </row>
        <row r="944">
          <cell r="A944" t="str">
            <v>UTPEK</v>
          </cell>
        </row>
        <row r="945">
          <cell r="A945" t="str">
            <v>UTPEL</v>
          </cell>
        </row>
        <row r="946">
          <cell r="A946" t="str">
            <v>UTPEM</v>
          </cell>
        </row>
        <row r="947">
          <cell r="A947" t="str">
            <v>UTPEN</v>
          </cell>
        </row>
        <row r="948">
          <cell r="A948" t="str">
            <v>UTPEX</v>
          </cell>
        </row>
        <row r="949">
          <cell r="A949" t="str">
            <v>UTPFJ</v>
          </cell>
        </row>
        <row r="950">
          <cell r="A950" t="str">
            <v>UTPFK</v>
          </cell>
        </row>
        <row r="951">
          <cell r="A951" t="str">
            <v>UTPFL</v>
          </cell>
        </row>
        <row r="952">
          <cell r="A952" t="str">
            <v>UTPFM</v>
          </cell>
        </row>
        <row r="953">
          <cell r="A953" t="str">
            <v>UTPFN</v>
          </cell>
        </row>
        <row r="954">
          <cell r="A954" t="str">
            <v>UTPFX</v>
          </cell>
        </row>
        <row r="955">
          <cell r="A955" t="str">
            <v>UTPGJ</v>
          </cell>
        </row>
        <row r="956">
          <cell r="A956" t="str">
            <v>UTPGK</v>
          </cell>
        </row>
        <row r="957">
          <cell r="A957" t="str">
            <v>UTPGL</v>
          </cell>
        </row>
        <row r="958">
          <cell r="A958" t="str">
            <v>UTPGM</v>
          </cell>
        </row>
        <row r="959">
          <cell r="A959" t="str">
            <v>UTPGN</v>
          </cell>
        </row>
        <row r="960">
          <cell r="A960" t="str">
            <v>UTPGX</v>
          </cell>
        </row>
        <row r="961">
          <cell r="A961" t="str">
            <v>UTPHJ</v>
          </cell>
        </row>
        <row r="962">
          <cell r="A962" t="str">
            <v>UTPHK</v>
          </cell>
        </row>
        <row r="963">
          <cell r="A963" t="str">
            <v>UTPHL</v>
          </cell>
        </row>
        <row r="964">
          <cell r="A964" t="str">
            <v>UTPHM</v>
          </cell>
        </row>
        <row r="965">
          <cell r="A965" t="str">
            <v>UTPHN</v>
          </cell>
        </row>
        <row r="966">
          <cell r="A966" t="str">
            <v>UTPHX</v>
          </cell>
        </row>
        <row r="967">
          <cell r="A967" t="str">
            <v>UTPIJ</v>
          </cell>
        </row>
        <row r="968">
          <cell r="A968" t="str">
            <v>UTPIK</v>
          </cell>
        </row>
        <row r="969">
          <cell r="A969" t="str">
            <v>UTPIL</v>
          </cell>
        </row>
        <row r="970">
          <cell r="A970" t="str">
            <v>UTPIM</v>
          </cell>
        </row>
        <row r="971">
          <cell r="A971" t="str">
            <v>UTPIN</v>
          </cell>
        </row>
        <row r="972">
          <cell r="A972" t="str">
            <v>UTPIX</v>
          </cell>
        </row>
        <row r="973">
          <cell r="A973" t="str">
            <v>UTPRJ</v>
          </cell>
        </row>
        <row r="974">
          <cell r="A974" t="str">
            <v>UTPRK</v>
          </cell>
        </row>
        <row r="975">
          <cell r="A975" t="str">
            <v>UTPRL</v>
          </cell>
        </row>
        <row r="976">
          <cell r="A976" t="str">
            <v>UTPRM</v>
          </cell>
        </row>
        <row r="977">
          <cell r="A977" t="str">
            <v>UTPRN</v>
          </cell>
        </row>
        <row r="978">
          <cell r="A978" t="str">
            <v>UTPRX</v>
          </cell>
        </row>
        <row r="979">
          <cell r="A979" t="str">
            <v>UTPXJ</v>
          </cell>
        </row>
        <row r="980">
          <cell r="A980" t="str">
            <v>UTPXK</v>
          </cell>
        </row>
        <row r="981">
          <cell r="A981" t="str">
            <v>UTPXL</v>
          </cell>
        </row>
        <row r="982">
          <cell r="A982" t="str">
            <v>UTPXM</v>
          </cell>
        </row>
        <row r="983">
          <cell r="A983" t="str">
            <v>UTPXN</v>
          </cell>
        </row>
        <row r="984">
          <cell r="A984" t="str">
            <v>UTPXX</v>
          </cell>
        </row>
        <row r="985">
          <cell r="A985" t="str">
            <v>UTTEJ</v>
          </cell>
        </row>
        <row r="986">
          <cell r="A986" t="str">
            <v>UTTEK</v>
          </cell>
        </row>
        <row r="987">
          <cell r="A987" t="str">
            <v>UTTEL</v>
          </cell>
        </row>
        <row r="988">
          <cell r="A988" t="str">
            <v>UTTEM</v>
          </cell>
        </row>
        <row r="989">
          <cell r="A989" t="str">
            <v>UTTEN</v>
          </cell>
        </row>
        <row r="990">
          <cell r="A990" t="str">
            <v>UTTEX</v>
          </cell>
        </row>
        <row r="991">
          <cell r="A991" t="str">
            <v>UTTFJ</v>
          </cell>
        </row>
        <row r="992">
          <cell r="A992" t="str">
            <v>UTTFK</v>
          </cell>
        </row>
        <row r="993">
          <cell r="A993" t="str">
            <v>UTTFL</v>
          </cell>
        </row>
        <row r="994">
          <cell r="A994" t="str">
            <v>UTTFM</v>
          </cell>
        </row>
        <row r="995">
          <cell r="A995" t="str">
            <v>UTTFN</v>
          </cell>
        </row>
        <row r="996">
          <cell r="A996" t="str">
            <v>UTTFX</v>
          </cell>
        </row>
        <row r="997">
          <cell r="A997" t="str">
            <v>UTTGJ</v>
          </cell>
        </row>
        <row r="998">
          <cell r="A998" t="str">
            <v>UTTGK</v>
          </cell>
        </row>
        <row r="999">
          <cell r="A999" t="str">
            <v>UTTGL</v>
          </cell>
        </row>
        <row r="1000">
          <cell r="A1000" t="str">
            <v>UTTGM</v>
          </cell>
        </row>
        <row r="1001">
          <cell r="A1001" t="str">
            <v>UTTGN</v>
          </cell>
        </row>
        <row r="1002">
          <cell r="A1002" t="str">
            <v>UTTGX</v>
          </cell>
        </row>
        <row r="1003">
          <cell r="A1003" t="str">
            <v>UTTHJ</v>
          </cell>
        </row>
        <row r="1004">
          <cell r="A1004" t="str">
            <v>UTTHK</v>
          </cell>
        </row>
        <row r="1005">
          <cell r="A1005" t="str">
            <v>UTTHL</v>
          </cell>
        </row>
        <row r="1006">
          <cell r="A1006" t="str">
            <v>UTTHM</v>
          </cell>
        </row>
        <row r="1007">
          <cell r="A1007" t="str">
            <v>UTTHN</v>
          </cell>
        </row>
        <row r="1008">
          <cell r="A1008" t="str">
            <v>UTTHX</v>
          </cell>
        </row>
        <row r="1009">
          <cell r="A1009" t="str">
            <v>UTTIJ</v>
          </cell>
        </row>
        <row r="1010">
          <cell r="A1010" t="str">
            <v>UTTIK</v>
          </cell>
        </row>
        <row r="1011">
          <cell r="A1011" t="str">
            <v>UTTIL</v>
          </cell>
        </row>
        <row r="1012">
          <cell r="A1012" t="str">
            <v>UTTIM</v>
          </cell>
        </row>
        <row r="1013">
          <cell r="A1013" t="str">
            <v>UTTIN</v>
          </cell>
        </row>
        <row r="1014">
          <cell r="A1014" t="str">
            <v>UTTIX</v>
          </cell>
        </row>
        <row r="1015">
          <cell r="A1015" t="str">
            <v>UTTRJ</v>
          </cell>
        </row>
        <row r="1016">
          <cell r="A1016" t="str">
            <v>UTTRK</v>
          </cell>
        </row>
        <row r="1017">
          <cell r="A1017" t="str">
            <v>UTTRL</v>
          </cell>
        </row>
        <row r="1018">
          <cell r="A1018" t="str">
            <v>UTTRM</v>
          </cell>
        </row>
        <row r="1019">
          <cell r="A1019" t="str">
            <v>UTTRN</v>
          </cell>
        </row>
        <row r="1020">
          <cell r="A1020" t="str">
            <v>UTTRX</v>
          </cell>
        </row>
        <row r="1021">
          <cell r="A1021" t="str">
            <v>UTTXJ</v>
          </cell>
        </row>
        <row r="1022">
          <cell r="A1022" t="str">
            <v>UTTXK</v>
          </cell>
        </row>
        <row r="1023">
          <cell r="A1023" t="str">
            <v>UTTXL</v>
          </cell>
        </row>
        <row r="1024">
          <cell r="A1024" t="str">
            <v>UTTXM</v>
          </cell>
        </row>
        <row r="1025">
          <cell r="A1025" t="str">
            <v>UTTXN</v>
          </cell>
        </row>
        <row r="1026">
          <cell r="A1026" t="str">
            <v>UTTXX</v>
          </cell>
        </row>
        <row r="1028">
          <cell r="A1028" t="str">
            <v>(D)UHT</v>
          </cell>
        </row>
        <row r="1029">
          <cell r="A1029" t="str">
            <v>(D)UHTW</v>
          </cell>
        </row>
        <row r="1030">
          <cell r="A1030">
            <v>8</v>
          </cell>
        </row>
        <row r="1031">
          <cell r="A1031">
            <v>1</v>
          </cell>
        </row>
        <row r="1032">
          <cell r="A1032">
            <v>101</v>
          </cell>
        </row>
        <row r="1033">
          <cell r="A1033">
            <v>102</v>
          </cell>
        </row>
        <row r="1034">
          <cell r="A1034">
            <v>105</v>
          </cell>
        </row>
        <row r="1035">
          <cell r="A1035">
            <v>124</v>
          </cell>
        </row>
        <row r="1036">
          <cell r="A1036">
            <v>127</v>
          </cell>
        </row>
        <row r="1037">
          <cell r="A1037">
            <v>128</v>
          </cell>
        </row>
        <row r="1038">
          <cell r="A1038" t="str">
            <v>128L</v>
          </cell>
        </row>
        <row r="1039">
          <cell r="A1039">
            <v>150</v>
          </cell>
        </row>
        <row r="1040">
          <cell r="A1040">
            <v>16</v>
          </cell>
        </row>
        <row r="1041">
          <cell r="A1041" t="str">
            <v>16 UK STD</v>
          </cell>
        </row>
        <row r="1042">
          <cell r="A1042" t="str">
            <v>16 US STD</v>
          </cell>
        </row>
        <row r="1043">
          <cell r="A1043">
            <v>162</v>
          </cell>
        </row>
        <row r="1044">
          <cell r="A1044">
            <v>17</v>
          </cell>
        </row>
        <row r="1045">
          <cell r="A1045">
            <v>18</v>
          </cell>
        </row>
        <row r="1046">
          <cell r="A1046" t="str">
            <v>1NT</v>
          </cell>
        </row>
        <row r="1047">
          <cell r="A1047">
            <v>200</v>
          </cell>
        </row>
        <row r="1048">
          <cell r="A1048">
            <v>2000</v>
          </cell>
        </row>
        <row r="1049">
          <cell r="A1049">
            <v>201</v>
          </cell>
        </row>
        <row r="1050">
          <cell r="A1050">
            <v>202</v>
          </cell>
        </row>
        <row r="1051">
          <cell r="A1051">
            <v>21</v>
          </cell>
        </row>
        <row r="1052">
          <cell r="A1052" t="str">
            <v>21 BAL</v>
          </cell>
        </row>
        <row r="1053">
          <cell r="A1053" t="str">
            <v>21 UK STD</v>
          </cell>
        </row>
        <row r="1054">
          <cell r="A1054" t="str">
            <v>21 US STD</v>
          </cell>
        </row>
        <row r="1055">
          <cell r="A1055" t="str">
            <v>21 US STD BAL</v>
          </cell>
        </row>
        <row r="1056">
          <cell r="A1056">
            <v>2132</v>
          </cell>
        </row>
        <row r="1057">
          <cell r="A1057">
            <v>22</v>
          </cell>
        </row>
        <row r="1058">
          <cell r="A1058">
            <v>250</v>
          </cell>
        </row>
        <row r="1059">
          <cell r="A1059">
            <v>26</v>
          </cell>
        </row>
        <row r="1060">
          <cell r="A1060">
            <v>2613</v>
          </cell>
        </row>
        <row r="1061">
          <cell r="A1061">
            <v>2623</v>
          </cell>
        </row>
        <row r="1062">
          <cell r="A1062">
            <v>2663</v>
          </cell>
        </row>
        <row r="1063">
          <cell r="A1063">
            <v>2750</v>
          </cell>
        </row>
        <row r="1064">
          <cell r="A1064">
            <v>28</v>
          </cell>
        </row>
        <row r="1065">
          <cell r="A1065">
            <v>29</v>
          </cell>
        </row>
        <row r="1066">
          <cell r="A1066">
            <v>2980</v>
          </cell>
        </row>
        <row r="1067">
          <cell r="A1067">
            <v>306</v>
          </cell>
        </row>
        <row r="1068">
          <cell r="A1068" t="str">
            <v>306W</v>
          </cell>
        </row>
        <row r="1069">
          <cell r="A1069" t="str">
            <v>30A</v>
          </cell>
        </row>
        <row r="1070">
          <cell r="A1070">
            <v>31</v>
          </cell>
        </row>
        <row r="1071">
          <cell r="A1071" t="str">
            <v>31 BAL</v>
          </cell>
        </row>
        <row r="1072">
          <cell r="A1072" t="str">
            <v>31 UK STD</v>
          </cell>
        </row>
        <row r="1073">
          <cell r="A1073" t="str">
            <v>31 US STD</v>
          </cell>
        </row>
        <row r="1074">
          <cell r="A1074" t="str">
            <v>31 US STD BAL</v>
          </cell>
        </row>
        <row r="1075">
          <cell r="A1075" t="str">
            <v>32BS</v>
          </cell>
        </row>
        <row r="1076">
          <cell r="A1076">
            <v>330</v>
          </cell>
        </row>
        <row r="1077">
          <cell r="A1077" t="str">
            <v>33A</v>
          </cell>
        </row>
        <row r="1078">
          <cell r="A1078">
            <v>37</v>
          </cell>
        </row>
        <row r="1079">
          <cell r="A1079">
            <v>390</v>
          </cell>
        </row>
        <row r="1080">
          <cell r="A1080">
            <v>40</v>
          </cell>
        </row>
        <row r="1081">
          <cell r="A1081">
            <v>4001</v>
          </cell>
        </row>
        <row r="1082">
          <cell r="A1082">
            <v>480</v>
          </cell>
        </row>
        <row r="1083">
          <cell r="A1083">
            <v>483</v>
          </cell>
        </row>
        <row r="1084">
          <cell r="A1084">
            <v>487</v>
          </cell>
        </row>
        <row r="1085">
          <cell r="A1085" t="str">
            <v>487W</v>
          </cell>
        </row>
        <row r="1086">
          <cell r="A1086">
            <v>498</v>
          </cell>
        </row>
        <row r="1087">
          <cell r="A1087" t="str">
            <v>507S</v>
          </cell>
        </row>
        <row r="1088">
          <cell r="A1088">
            <v>51</v>
          </cell>
        </row>
        <row r="1089">
          <cell r="A1089" t="str">
            <v>51 BAL</v>
          </cell>
        </row>
        <row r="1090">
          <cell r="A1090" t="str">
            <v>51 UK STD</v>
          </cell>
        </row>
        <row r="1091">
          <cell r="A1091" t="str">
            <v>51 US STD</v>
          </cell>
        </row>
        <row r="1092">
          <cell r="A1092" t="str">
            <v>51 US STD BAL</v>
          </cell>
        </row>
        <row r="1093">
          <cell r="A1093" t="str">
            <v>510S</v>
          </cell>
        </row>
        <row r="1094">
          <cell r="A1094">
            <v>52</v>
          </cell>
        </row>
        <row r="1095">
          <cell r="A1095" t="str">
            <v>52 BAL</v>
          </cell>
        </row>
        <row r="1096">
          <cell r="A1096" t="str">
            <v>52 DIN STD</v>
          </cell>
        </row>
        <row r="1097">
          <cell r="A1097" t="str">
            <v>52 UK STD</v>
          </cell>
        </row>
        <row r="1098">
          <cell r="A1098" t="str">
            <v>52 US STD</v>
          </cell>
        </row>
        <row r="1099">
          <cell r="A1099" t="str">
            <v>52 US STD BAL</v>
          </cell>
        </row>
        <row r="1100">
          <cell r="A1100" t="str">
            <v>5201NN</v>
          </cell>
        </row>
        <row r="1101">
          <cell r="A1101" t="str">
            <v>5202NN</v>
          </cell>
        </row>
        <row r="1102">
          <cell r="A1102" t="str">
            <v>5203NN</v>
          </cell>
        </row>
        <row r="1103">
          <cell r="A1103" t="str">
            <v>5204N</v>
          </cell>
        </row>
        <row r="1104">
          <cell r="A1104" t="str">
            <v>5205CN</v>
          </cell>
        </row>
        <row r="1105">
          <cell r="A1105" t="str">
            <v>5206CN</v>
          </cell>
        </row>
        <row r="1106">
          <cell r="A1106" t="str">
            <v>5207NN</v>
          </cell>
        </row>
        <row r="1107">
          <cell r="A1107" t="str">
            <v>5208N</v>
          </cell>
        </row>
        <row r="1108">
          <cell r="A1108">
            <v>55</v>
          </cell>
        </row>
        <row r="1109">
          <cell r="A1109">
            <v>556</v>
          </cell>
        </row>
        <row r="1110">
          <cell r="A1110">
            <v>589</v>
          </cell>
        </row>
        <row r="1111">
          <cell r="A1111">
            <v>60</v>
          </cell>
        </row>
        <row r="1112">
          <cell r="A1112">
            <v>600</v>
          </cell>
        </row>
        <row r="1113">
          <cell r="A1113">
            <v>606</v>
          </cell>
        </row>
        <row r="1114">
          <cell r="A1114" t="str">
            <v>606W</v>
          </cell>
        </row>
        <row r="1115">
          <cell r="A1115">
            <v>610</v>
          </cell>
        </row>
        <row r="1116">
          <cell r="A1116">
            <v>615</v>
          </cell>
        </row>
        <row r="1117">
          <cell r="A1117" t="str">
            <v>615 (LUB)</v>
          </cell>
        </row>
        <row r="1118">
          <cell r="A1118">
            <v>618</v>
          </cell>
        </row>
        <row r="1119">
          <cell r="A1119">
            <v>620</v>
          </cell>
        </row>
        <row r="1120">
          <cell r="A1120" t="str">
            <v>620W</v>
          </cell>
        </row>
        <row r="1121">
          <cell r="A1121">
            <v>621</v>
          </cell>
        </row>
        <row r="1122">
          <cell r="A1122" t="str">
            <v>621W</v>
          </cell>
        </row>
        <row r="1123">
          <cell r="A1123">
            <v>622</v>
          </cell>
        </row>
        <row r="1124">
          <cell r="A1124" t="str">
            <v>622W</v>
          </cell>
        </row>
        <row r="1125">
          <cell r="A1125">
            <v>626</v>
          </cell>
        </row>
        <row r="1126">
          <cell r="A1126" t="str">
            <v>626W</v>
          </cell>
        </row>
        <row r="1127">
          <cell r="A1127">
            <v>650</v>
          </cell>
        </row>
        <row r="1128">
          <cell r="A1128">
            <v>654</v>
          </cell>
        </row>
        <row r="1129">
          <cell r="A1129">
            <v>658</v>
          </cell>
        </row>
        <row r="1130">
          <cell r="A1130">
            <v>660</v>
          </cell>
        </row>
        <row r="1131">
          <cell r="A1131" t="str">
            <v>660/664</v>
          </cell>
        </row>
        <row r="1132">
          <cell r="A1132">
            <v>664</v>
          </cell>
        </row>
        <row r="1133">
          <cell r="A1133">
            <v>670</v>
          </cell>
        </row>
        <row r="1134">
          <cell r="A1134" t="str">
            <v>670W</v>
          </cell>
        </row>
        <row r="1135">
          <cell r="A1135">
            <v>671</v>
          </cell>
        </row>
        <row r="1136">
          <cell r="A1136" t="str">
            <v>671W</v>
          </cell>
        </row>
        <row r="1137">
          <cell r="A1137">
            <v>672</v>
          </cell>
        </row>
        <row r="1138">
          <cell r="A1138" t="str">
            <v>672W</v>
          </cell>
        </row>
        <row r="1139">
          <cell r="A1139">
            <v>673</v>
          </cell>
        </row>
        <row r="1140">
          <cell r="A1140" t="str">
            <v>673W</v>
          </cell>
        </row>
        <row r="1141">
          <cell r="A1141">
            <v>676</v>
          </cell>
        </row>
        <row r="1142">
          <cell r="A1142" t="str">
            <v>676W</v>
          </cell>
        </row>
        <row r="1143">
          <cell r="A1143">
            <v>68</v>
          </cell>
        </row>
        <row r="1144">
          <cell r="A1144">
            <v>70</v>
          </cell>
        </row>
        <row r="1145">
          <cell r="A1145">
            <v>7000</v>
          </cell>
        </row>
        <row r="1146">
          <cell r="A1146">
            <v>727</v>
          </cell>
        </row>
        <row r="1147">
          <cell r="A1147" t="str">
            <v>72AB</v>
          </cell>
        </row>
        <row r="1148">
          <cell r="A1148" t="str">
            <v>72A-SR</v>
          </cell>
        </row>
        <row r="1149">
          <cell r="A1149" t="str">
            <v>73A</v>
          </cell>
        </row>
        <row r="1150">
          <cell r="A1150" t="str">
            <v>73AH</v>
          </cell>
        </row>
        <row r="1151">
          <cell r="A1151" t="str">
            <v>73AHL</v>
          </cell>
        </row>
        <row r="1152">
          <cell r="A1152" t="str">
            <v>73AH-SR</v>
          </cell>
        </row>
        <row r="1153">
          <cell r="A1153" t="str">
            <v>73AL</v>
          </cell>
        </row>
        <row r="1154">
          <cell r="A1154" t="str">
            <v>73D</v>
          </cell>
        </row>
        <row r="1155">
          <cell r="A1155">
            <v>8</v>
          </cell>
        </row>
        <row r="1156">
          <cell r="A1156" t="str">
            <v>8 US STD</v>
          </cell>
        </row>
        <row r="1157">
          <cell r="A1157">
            <v>80</v>
          </cell>
        </row>
        <row r="1158">
          <cell r="A1158">
            <v>84</v>
          </cell>
        </row>
        <row r="1159">
          <cell r="A1159">
            <v>85</v>
          </cell>
        </row>
        <row r="1160">
          <cell r="A1160">
            <v>86</v>
          </cell>
        </row>
        <row r="1161">
          <cell r="A1161">
            <v>87</v>
          </cell>
        </row>
        <row r="1162">
          <cell r="A1162">
            <v>882</v>
          </cell>
        </row>
        <row r="1163">
          <cell r="A1163" t="str">
            <v>887-ALC</v>
          </cell>
        </row>
        <row r="1164">
          <cell r="A1164" t="str">
            <v>8B</v>
          </cell>
        </row>
        <row r="1165">
          <cell r="A1165" t="str">
            <v>8BT</v>
          </cell>
        </row>
        <row r="1166">
          <cell r="A1166" t="str">
            <v>8HP MAXI</v>
          </cell>
        </row>
        <row r="1167">
          <cell r="A1167" t="str">
            <v>8T</v>
          </cell>
        </row>
        <row r="1168">
          <cell r="A1168" t="str">
            <v>8T US STD</v>
          </cell>
        </row>
        <row r="1169">
          <cell r="A1169">
            <v>9</v>
          </cell>
        </row>
        <row r="1170">
          <cell r="A1170" t="str">
            <v>9 US STD</v>
          </cell>
        </row>
        <row r="1171">
          <cell r="A1171">
            <v>945</v>
          </cell>
        </row>
        <row r="1172">
          <cell r="A1172" t="str">
            <v>955W</v>
          </cell>
        </row>
        <row r="1173">
          <cell r="A1173">
            <v>958</v>
          </cell>
        </row>
        <row r="1174">
          <cell r="A1174" t="str">
            <v>958D1</v>
          </cell>
        </row>
        <row r="1175">
          <cell r="A1175" t="str">
            <v>958G1</v>
          </cell>
        </row>
        <row r="1176">
          <cell r="A1176" t="str">
            <v>958G1W</v>
          </cell>
        </row>
        <row r="1177">
          <cell r="A1177" t="str">
            <v>958W</v>
          </cell>
        </row>
        <row r="1178">
          <cell r="A1178">
            <v>978</v>
          </cell>
        </row>
        <row r="1179">
          <cell r="A1179" t="str">
            <v>978  W</v>
          </cell>
        </row>
        <row r="1180">
          <cell r="A1180" t="str">
            <v>978D2</v>
          </cell>
        </row>
        <row r="1181">
          <cell r="A1181" t="str">
            <v>978D2W</v>
          </cell>
        </row>
        <row r="1182">
          <cell r="A1182" t="str">
            <v>978G1</v>
          </cell>
        </row>
        <row r="1183">
          <cell r="A1183" t="str">
            <v>978G2</v>
          </cell>
        </row>
        <row r="1184">
          <cell r="A1184" t="str">
            <v>978G3</v>
          </cell>
        </row>
        <row r="1185">
          <cell r="A1185" t="str">
            <v>978W</v>
          </cell>
        </row>
        <row r="1186">
          <cell r="A1186">
            <v>982</v>
          </cell>
        </row>
        <row r="1187">
          <cell r="A1187" t="str">
            <v>982 W</v>
          </cell>
        </row>
        <row r="1188">
          <cell r="A1188" t="str">
            <v>982W</v>
          </cell>
        </row>
        <row r="1189">
          <cell r="A1189" t="str">
            <v>983W</v>
          </cell>
        </row>
        <row r="1190">
          <cell r="A1190">
            <v>984</v>
          </cell>
        </row>
        <row r="1191">
          <cell r="A1191">
            <v>985</v>
          </cell>
        </row>
        <row r="1192">
          <cell r="A1192">
            <v>986</v>
          </cell>
        </row>
        <row r="1193">
          <cell r="A1193">
            <v>987</v>
          </cell>
        </row>
        <row r="1194">
          <cell r="A1194">
            <v>990</v>
          </cell>
        </row>
        <row r="1195">
          <cell r="A1195" t="str">
            <v>990 MAXI</v>
          </cell>
        </row>
        <row r="1196">
          <cell r="A1196" t="str">
            <v>995W</v>
          </cell>
        </row>
        <row r="1197">
          <cell r="A1197">
            <v>999</v>
          </cell>
        </row>
        <row r="1198">
          <cell r="A1198">
            <v>9999</v>
          </cell>
        </row>
        <row r="1199">
          <cell r="A1199">
            <v>99999</v>
          </cell>
        </row>
        <row r="1200">
          <cell r="A1200">
            <v>999999</v>
          </cell>
        </row>
        <row r="1201">
          <cell r="A1201" t="str">
            <v>9A</v>
          </cell>
        </row>
        <row r="1202">
          <cell r="A1202" t="str">
            <v>9AB</v>
          </cell>
        </row>
        <row r="1203">
          <cell r="A1203" t="str">
            <v>9B</v>
          </cell>
        </row>
        <row r="1204">
          <cell r="A1204" t="str">
            <v>9BT</v>
          </cell>
        </row>
        <row r="1205">
          <cell r="A1205" t="str">
            <v>9T</v>
          </cell>
        </row>
        <row r="1206">
          <cell r="A1206" t="str">
            <v>9T US STD</v>
          </cell>
        </row>
        <row r="1207">
          <cell r="A1207" t="str">
            <v>A/L</v>
          </cell>
        </row>
        <row r="1208">
          <cell r="A1208" t="str">
            <v>A400</v>
          </cell>
        </row>
        <row r="1209">
          <cell r="A1209" t="str">
            <v>AGD</v>
          </cell>
        </row>
        <row r="1210">
          <cell r="A1210" t="str">
            <v>ALLPAC</v>
          </cell>
        </row>
        <row r="1211">
          <cell r="A1211" t="str">
            <v>ALLPAC 2008</v>
          </cell>
        </row>
        <row r="1212">
          <cell r="A1212" t="str">
            <v>ALLPAC 2031</v>
          </cell>
        </row>
        <row r="1213">
          <cell r="A1213" t="str">
            <v>ALLPAC 2039</v>
          </cell>
        </row>
        <row r="1214">
          <cell r="A1214" t="str">
            <v>ALLPAC 480</v>
          </cell>
        </row>
        <row r="1215">
          <cell r="A1215" t="str">
            <v>ALLPAC 481</v>
          </cell>
        </row>
        <row r="1216">
          <cell r="A1216" t="str">
            <v>ALLPAC 482</v>
          </cell>
        </row>
        <row r="1217">
          <cell r="A1217" t="str">
            <v>ALLPAC 483</v>
          </cell>
        </row>
        <row r="1218">
          <cell r="A1218" t="str">
            <v>ALLPAC 486</v>
          </cell>
        </row>
        <row r="1219">
          <cell r="A1219" t="str">
            <v>ALLPAC 487</v>
          </cell>
        </row>
        <row r="1220">
          <cell r="A1220" t="str">
            <v>ALLPAC 498</v>
          </cell>
        </row>
        <row r="1221">
          <cell r="A1221" t="str">
            <v>ALLPAC N</v>
          </cell>
        </row>
        <row r="1222">
          <cell r="A1222" t="str">
            <v>ALLPAC N 2001</v>
          </cell>
        </row>
        <row r="1223">
          <cell r="A1223" t="str">
            <v>ALLPAC N 2005</v>
          </cell>
        </row>
        <row r="1224">
          <cell r="A1224" t="str">
            <v>ALLPAC N 2010</v>
          </cell>
        </row>
        <row r="1225">
          <cell r="A1225" t="str">
            <v>ALLPAC N 2031</v>
          </cell>
        </row>
        <row r="1226">
          <cell r="A1226" t="str">
            <v>ALLPAC N 2036</v>
          </cell>
        </row>
        <row r="1227">
          <cell r="A1227" t="str">
            <v>ALLPAC N 2132</v>
          </cell>
        </row>
        <row r="1228">
          <cell r="A1228" t="str">
            <v>ALLPAC N2001</v>
          </cell>
        </row>
        <row r="1229">
          <cell r="A1229" t="str">
            <v>ALLPAC S</v>
          </cell>
        </row>
        <row r="1230">
          <cell r="A1230" t="str">
            <v>APO-D</v>
          </cell>
        </row>
        <row r="1231">
          <cell r="A1231" t="str">
            <v>APT</v>
          </cell>
        </row>
        <row r="1232">
          <cell r="A1232" t="str">
            <v>APTO</v>
          </cell>
        </row>
        <row r="1233">
          <cell r="A1233" t="str">
            <v>APTO-E</v>
          </cell>
        </row>
        <row r="1234">
          <cell r="A1234" t="str">
            <v>APTO-HW</v>
          </cell>
        </row>
        <row r="1235">
          <cell r="A1235" t="str">
            <v>ARB</v>
          </cell>
        </row>
        <row r="1236">
          <cell r="A1236" t="str">
            <v>ARO</v>
          </cell>
        </row>
        <row r="1237">
          <cell r="A1237" t="str">
            <v>ARO-D</v>
          </cell>
        </row>
        <row r="1238">
          <cell r="A1238" t="str">
            <v>ARO-DHT</v>
          </cell>
        </row>
        <row r="1239">
          <cell r="A1239" t="str">
            <v>ARO'ISO'</v>
          </cell>
        </row>
        <row r="1240">
          <cell r="A1240" t="str">
            <v>ARO-TT</v>
          </cell>
        </row>
        <row r="1241">
          <cell r="A1241" t="str">
            <v>ASB</v>
          </cell>
        </row>
        <row r="1242">
          <cell r="A1242" t="str">
            <v>B</v>
          </cell>
        </row>
        <row r="1243">
          <cell r="A1243" t="str">
            <v>B/PACW</v>
          </cell>
        </row>
        <row r="1244">
          <cell r="A1244" t="str">
            <v>BAQW</v>
          </cell>
        </row>
        <row r="1245">
          <cell r="A1245" t="str">
            <v>BARR</v>
          </cell>
        </row>
        <row r="1246">
          <cell r="A1246" t="str">
            <v>BAW</v>
          </cell>
        </row>
        <row r="1247">
          <cell r="A1247" t="str">
            <v>BAWW</v>
          </cell>
        </row>
        <row r="1248">
          <cell r="A1248" t="str">
            <v>BC</v>
          </cell>
        </row>
        <row r="1249">
          <cell r="A1249" t="str">
            <v>BCO</v>
          </cell>
        </row>
        <row r="1250">
          <cell r="A1250" t="str">
            <v>BCOW</v>
          </cell>
        </row>
        <row r="1251">
          <cell r="A1251" t="str">
            <v>BCR</v>
          </cell>
        </row>
        <row r="1252">
          <cell r="A1252" t="str">
            <v>BCT</v>
          </cell>
        </row>
        <row r="1253">
          <cell r="A1253" t="str">
            <v>BCTW</v>
          </cell>
        </row>
        <row r="1254">
          <cell r="A1254" t="str">
            <v>BCW</v>
          </cell>
        </row>
        <row r="1255">
          <cell r="A1255" t="str">
            <v>BEAR GARD</v>
          </cell>
        </row>
        <row r="1256">
          <cell r="A1256" t="str">
            <v>BEAR GARD ASSY</v>
          </cell>
        </row>
        <row r="1257">
          <cell r="A1257" t="str">
            <v>F</v>
          </cell>
        </row>
        <row r="1258">
          <cell r="A1258" t="str">
            <v>BFPC</v>
          </cell>
        </row>
        <row r="1259">
          <cell r="A1259" t="str">
            <v>BFPCW</v>
          </cell>
        </row>
        <row r="1260">
          <cell r="A1260" t="str">
            <v>BGARD</v>
          </cell>
        </row>
        <row r="1261">
          <cell r="A1261" t="str">
            <v>BGARD II</v>
          </cell>
        </row>
        <row r="1262">
          <cell r="A1262" t="str">
            <v>BGM</v>
          </cell>
        </row>
        <row r="1263">
          <cell r="A1263" t="str">
            <v>BGMA</v>
          </cell>
        </row>
        <row r="1264">
          <cell r="A1264" t="str">
            <v>BHRH</v>
          </cell>
        </row>
        <row r="1265">
          <cell r="A1265" t="str">
            <v>BHX</v>
          </cell>
        </row>
        <row r="1266">
          <cell r="A1266" t="str">
            <v>BHXW</v>
          </cell>
        </row>
        <row r="1267">
          <cell r="A1267" t="str">
            <v>BL</v>
          </cell>
        </row>
        <row r="1268">
          <cell r="A1268" t="str">
            <v>BLW</v>
          </cell>
        </row>
        <row r="1269">
          <cell r="A1269" t="str">
            <v>BMD</v>
          </cell>
        </row>
        <row r="1270">
          <cell r="A1270" t="str">
            <v>BNXW</v>
          </cell>
        </row>
        <row r="1271">
          <cell r="A1271" t="str">
            <v>BOOSTE</v>
          </cell>
        </row>
        <row r="1272">
          <cell r="A1272" t="str">
            <v>BOOSTR</v>
          </cell>
        </row>
        <row r="1273">
          <cell r="A1273" t="str">
            <v>BPAC</v>
          </cell>
        </row>
        <row r="1274">
          <cell r="A1274" t="str">
            <v>BPAC W</v>
          </cell>
        </row>
        <row r="1275">
          <cell r="A1275" t="str">
            <v>BPACW</v>
          </cell>
        </row>
        <row r="1276">
          <cell r="A1276" t="str">
            <v>B'PACW</v>
          </cell>
        </row>
        <row r="1277">
          <cell r="A1277" t="str">
            <v>BPCP</v>
          </cell>
        </row>
        <row r="1278">
          <cell r="A1278" t="str">
            <v>BPO</v>
          </cell>
        </row>
        <row r="1279">
          <cell r="A1279" t="str">
            <v>BPO-E</v>
          </cell>
        </row>
        <row r="1280">
          <cell r="A1280" t="str">
            <v>BPO-HD</v>
          </cell>
        </row>
        <row r="1281">
          <cell r="A1281" t="str">
            <v>BPO-LD</v>
          </cell>
        </row>
        <row r="1282">
          <cell r="A1282" t="str">
            <v>BPO-MD</v>
          </cell>
        </row>
        <row r="1283">
          <cell r="A1283" t="str">
            <v>BPO-S</v>
          </cell>
        </row>
        <row r="1284">
          <cell r="A1284" t="str">
            <v>BPT</v>
          </cell>
        </row>
        <row r="1285">
          <cell r="A1285" t="str">
            <v>BPT-HD</v>
          </cell>
        </row>
        <row r="1286">
          <cell r="A1286" t="str">
            <v>BPT-LD</v>
          </cell>
        </row>
        <row r="1287">
          <cell r="A1287" t="str">
            <v>BPT-MD</v>
          </cell>
        </row>
        <row r="1288">
          <cell r="A1288" t="str">
            <v>BQB</v>
          </cell>
        </row>
        <row r="1289">
          <cell r="A1289" t="str">
            <v>BR</v>
          </cell>
        </row>
        <row r="1290">
          <cell r="A1290" t="str">
            <v>BR0</v>
          </cell>
        </row>
        <row r="1291">
          <cell r="A1291" t="str">
            <v>BRA</v>
          </cell>
        </row>
        <row r="1292">
          <cell r="A1292" t="str">
            <v>BRAQ</v>
          </cell>
        </row>
        <row r="1293">
          <cell r="A1293" t="str">
            <v>BRASW</v>
          </cell>
        </row>
        <row r="1294">
          <cell r="A1294" t="str">
            <v>BRAW</v>
          </cell>
        </row>
        <row r="1295">
          <cell r="A1295" t="str">
            <v>BRC</v>
          </cell>
        </row>
        <row r="1296">
          <cell r="A1296" t="str">
            <v>BRCQ</v>
          </cell>
        </row>
        <row r="1297">
          <cell r="A1297" t="str">
            <v>BRCQW</v>
          </cell>
        </row>
        <row r="1298">
          <cell r="A1298" t="str">
            <v>BRCS</v>
          </cell>
        </row>
        <row r="1299">
          <cell r="A1299" t="str">
            <v>BRCSRW</v>
          </cell>
        </row>
        <row r="1300">
          <cell r="A1300" t="str">
            <v>BRCSW</v>
          </cell>
        </row>
        <row r="1301">
          <cell r="A1301" t="str">
            <v>BRCSW/BXLSQW</v>
          </cell>
        </row>
        <row r="1302">
          <cell r="A1302" t="str">
            <v>BRCSW/BXLSW</v>
          </cell>
        </row>
        <row r="1303">
          <cell r="A1303" t="str">
            <v>BRCW</v>
          </cell>
        </row>
        <row r="1304">
          <cell r="A1304" t="str">
            <v>BRCW 6000</v>
          </cell>
        </row>
        <row r="1305">
          <cell r="A1305" t="str">
            <v>BRG</v>
          </cell>
        </row>
        <row r="1306">
          <cell r="A1306" t="str">
            <v>BRL</v>
          </cell>
        </row>
        <row r="1307">
          <cell r="A1307" t="str">
            <v>BRLC</v>
          </cell>
        </row>
        <row r="1308">
          <cell r="A1308" t="str">
            <v>BRLCQ</v>
          </cell>
        </row>
        <row r="1309">
          <cell r="A1309" t="str">
            <v>BRLG</v>
          </cell>
        </row>
        <row r="1310">
          <cell r="A1310" t="str">
            <v>BRLQ</v>
          </cell>
        </row>
        <row r="1311">
          <cell r="A1311" t="str">
            <v>BRLQW</v>
          </cell>
        </row>
        <row r="1312">
          <cell r="A1312" t="str">
            <v>BRLS</v>
          </cell>
        </row>
        <row r="1313">
          <cell r="A1313" t="str">
            <v>BRLSW</v>
          </cell>
        </row>
        <row r="1314">
          <cell r="A1314" t="str">
            <v>BRLW</v>
          </cell>
        </row>
        <row r="1315">
          <cell r="A1315" t="str">
            <v>BRO</v>
          </cell>
        </row>
        <row r="1316">
          <cell r="A1316" t="str">
            <v>BRO-HD</v>
          </cell>
        </row>
        <row r="1317">
          <cell r="A1317" t="str">
            <v>BRO-LD</v>
          </cell>
        </row>
        <row r="1318">
          <cell r="A1318" t="str">
            <v>BRO-MD</v>
          </cell>
        </row>
        <row r="1319">
          <cell r="A1319" t="str">
            <v>BRQ</v>
          </cell>
        </row>
        <row r="1320">
          <cell r="A1320" t="str">
            <v>BRSCQW</v>
          </cell>
        </row>
        <row r="1321">
          <cell r="A1321" t="str">
            <v>BRSCW</v>
          </cell>
        </row>
        <row r="1322">
          <cell r="A1322" t="str">
            <v>BRT</v>
          </cell>
        </row>
        <row r="1323">
          <cell r="A1323" t="str">
            <v>BRT-HD</v>
          </cell>
        </row>
        <row r="1324">
          <cell r="A1324" t="str">
            <v>BRT-LD</v>
          </cell>
        </row>
        <row r="1325">
          <cell r="A1325" t="str">
            <v>BRT-MD</v>
          </cell>
        </row>
        <row r="1326">
          <cell r="A1326" t="str">
            <v>BR-TT</v>
          </cell>
        </row>
        <row r="1327">
          <cell r="A1327" t="str">
            <v>BRW</v>
          </cell>
        </row>
        <row r="1328">
          <cell r="A1328" t="str">
            <v>BRXH</v>
          </cell>
        </row>
        <row r="1329">
          <cell r="A1329" t="str">
            <v>BSHING</v>
          </cell>
        </row>
        <row r="1330">
          <cell r="A1330" t="str">
            <v>BSRH</v>
          </cell>
        </row>
        <row r="1331">
          <cell r="A1331" t="str">
            <v>BUCPAC</v>
          </cell>
        </row>
        <row r="1332">
          <cell r="A1332" t="str">
            <v>BUFFER LABY</v>
          </cell>
        </row>
        <row r="1333">
          <cell r="A1333" t="str">
            <v>BUFFERPAC</v>
          </cell>
        </row>
        <row r="1334">
          <cell r="A1334" t="str">
            <v>Bufferpac 2980</v>
          </cell>
        </row>
        <row r="1335">
          <cell r="A1335" t="str">
            <v>Bufferpac 2980-43</v>
          </cell>
        </row>
        <row r="1336">
          <cell r="A1336" t="str">
            <v>BUFFERPAC SEAL</v>
          </cell>
        </row>
        <row r="1337">
          <cell r="A1337" t="str">
            <v>BufferPac-2980</v>
          </cell>
        </row>
        <row r="1338">
          <cell r="A1338" t="str">
            <v>Bufferpac-982</v>
          </cell>
        </row>
        <row r="1339">
          <cell r="A1339" t="str">
            <v>BUFFERPACW</v>
          </cell>
        </row>
        <row r="1340">
          <cell r="A1340" t="str">
            <v>BUS'G</v>
          </cell>
        </row>
        <row r="1341">
          <cell r="A1341" t="str">
            <v>BUSHING SEAL ASSY</v>
          </cell>
        </row>
        <row r="1342">
          <cell r="A1342" t="str">
            <v>BW</v>
          </cell>
        </row>
        <row r="1343">
          <cell r="A1343" t="str">
            <v>BWRHW</v>
          </cell>
        </row>
        <row r="1344">
          <cell r="A1344" t="str">
            <v>BWX</v>
          </cell>
        </row>
        <row r="1345">
          <cell r="A1345" t="str">
            <v>BX</v>
          </cell>
        </row>
        <row r="1346">
          <cell r="A1346" t="str">
            <v>BXA</v>
          </cell>
        </row>
        <row r="1347">
          <cell r="A1347" t="str">
            <v>BXAU</v>
          </cell>
        </row>
        <row r="1348">
          <cell r="A1348" t="str">
            <v>BXAW</v>
          </cell>
        </row>
        <row r="1349">
          <cell r="A1349" t="str">
            <v>BXB</v>
          </cell>
        </row>
        <row r="1350">
          <cell r="A1350" t="str">
            <v>BXBW</v>
          </cell>
        </row>
        <row r="1351">
          <cell r="A1351" t="str">
            <v>BXC</v>
          </cell>
        </row>
        <row r="1352">
          <cell r="A1352" t="str">
            <v>BXCA</v>
          </cell>
        </row>
        <row r="1353">
          <cell r="A1353" t="str">
            <v>BXCO</v>
          </cell>
        </row>
        <row r="1354">
          <cell r="A1354" t="str">
            <v>BXCOQ</v>
          </cell>
        </row>
        <row r="1355">
          <cell r="A1355" t="str">
            <v>BXCOQW</v>
          </cell>
        </row>
        <row r="1356">
          <cell r="A1356" t="str">
            <v>BXCOW</v>
          </cell>
        </row>
        <row r="1357">
          <cell r="A1357" t="str">
            <v>BXCQ</v>
          </cell>
        </row>
        <row r="1358">
          <cell r="A1358" t="str">
            <v>BXCQW</v>
          </cell>
        </row>
        <row r="1359">
          <cell r="A1359" t="str">
            <v>BXCW</v>
          </cell>
        </row>
        <row r="1360">
          <cell r="A1360" t="str">
            <v>BXD</v>
          </cell>
        </row>
        <row r="1361">
          <cell r="A1361" t="str">
            <v>BXDA</v>
          </cell>
        </row>
        <row r="1362">
          <cell r="A1362" t="str">
            <v>BXDAW</v>
          </cell>
        </row>
        <row r="1363">
          <cell r="A1363" t="str">
            <v>BXDW</v>
          </cell>
        </row>
        <row r="1364">
          <cell r="A1364" t="str">
            <v>BXDWA</v>
          </cell>
        </row>
        <row r="1365">
          <cell r="A1365" t="str">
            <v>BXEW</v>
          </cell>
        </row>
        <row r="1366">
          <cell r="A1366" t="str">
            <v>BXF</v>
          </cell>
        </row>
        <row r="1367">
          <cell r="A1367" t="str">
            <v>BXH</v>
          </cell>
        </row>
        <row r="1368">
          <cell r="A1368" t="str">
            <v>BXHB</v>
          </cell>
        </row>
        <row r="1369">
          <cell r="A1369" t="str">
            <v>BXHBW</v>
          </cell>
        </row>
        <row r="1370">
          <cell r="A1370" t="str">
            <v>BXHH</v>
          </cell>
        </row>
        <row r="1371">
          <cell r="A1371" t="str">
            <v>BXHH.</v>
          </cell>
        </row>
        <row r="1372">
          <cell r="A1372" t="str">
            <v>BXHHB</v>
          </cell>
        </row>
        <row r="1373">
          <cell r="A1373" t="str">
            <v>BXHHBW</v>
          </cell>
        </row>
        <row r="1374">
          <cell r="A1374" t="str">
            <v>BXHHW</v>
          </cell>
        </row>
        <row r="1375">
          <cell r="A1375" t="str">
            <v>BXHHWB</v>
          </cell>
        </row>
        <row r="1376">
          <cell r="A1376" t="str">
            <v>BXHQ</v>
          </cell>
        </row>
        <row r="1377">
          <cell r="A1377" t="str">
            <v>BXHR</v>
          </cell>
        </row>
        <row r="1378">
          <cell r="A1378" t="str">
            <v>BXHSW</v>
          </cell>
        </row>
        <row r="1379">
          <cell r="A1379" t="str">
            <v>BXHW</v>
          </cell>
        </row>
        <row r="1380">
          <cell r="A1380" t="str">
            <v>BXHWB</v>
          </cell>
        </row>
        <row r="1381">
          <cell r="A1381" t="str">
            <v>BXI</v>
          </cell>
        </row>
        <row r="1382">
          <cell r="A1382" t="str">
            <v>BXL</v>
          </cell>
        </row>
        <row r="1383">
          <cell r="A1383" t="str">
            <v>BXLA</v>
          </cell>
        </row>
        <row r="1384">
          <cell r="A1384" t="str">
            <v>BXLAW</v>
          </cell>
        </row>
        <row r="1385">
          <cell r="A1385" t="str">
            <v>BXLE</v>
          </cell>
        </row>
        <row r="1386">
          <cell r="A1386" t="str">
            <v>BXLEW</v>
          </cell>
        </row>
        <row r="1387">
          <cell r="A1387" t="str">
            <v>BXLQ</v>
          </cell>
        </row>
        <row r="1388">
          <cell r="A1388" t="str">
            <v>BXLS</v>
          </cell>
        </row>
        <row r="1389">
          <cell r="A1389" t="str">
            <v>BXLS LUB</v>
          </cell>
        </row>
        <row r="1390">
          <cell r="A1390" t="str">
            <v>BXLSB</v>
          </cell>
        </row>
        <row r="1391">
          <cell r="A1391" t="str">
            <v>BXLSBW</v>
          </cell>
        </row>
        <row r="1392">
          <cell r="A1392" t="str">
            <v>BXLSQ</v>
          </cell>
        </row>
        <row r="1393">
          <cell r="A1393" t="str">
            <v>BXLSQE</v>
          </cell>
        </row>
        <row r="1394">
          <cell r="A1394" t="str">
            <v>BXLSQU</v>
          </cell>
        </row>
        <row r="1395">
          <cell r="A1395" t="str">
            <v>BXLSQW</v>
          </cell>
        </row>
        <row r="1396">
          <cell r="A1396" t="str">
            <v>BXLSU</v>
          </cell>
        </row>
        <row r="1397">
          <cell r="A1397" t="str">
            <v>BXLSUW</v>
          </cell>
        </row>
        <row r="1398">
          <cell r="A1398" t="str">
            <v>BXLSW</v>
          </cell>
        </row>
        <row r="1399">
          <cell r="A1399" t="str">
            <v>BXLSWQ</v>
          </cell>
        </row>
        <row r="1400">
          <cell r="A1400" t="str">
            <v>BXLW</v>
          </cell>
        </row>
        <row r="1401">
          <cell r="A1401" t="str">
            <v>BXOW</v>
          </cell>
        </row>
        <row r="1402">
          <cell r="A1402" t="str">
            <v>BXPW</v>
          </cell>
        </row>
        <row r="1403">
          <cell r="A1403" t="str">
            <v>BXQ</v>
          </cell>
        </row>
        <row r="1404">
          <cell r="A1404" t="str">
            <v>BXQA</v>
          </cell>
        </row>
        <row r="1405">
          <cell r="A1405" t="str">
            <v>BXQAW</v>
          </cell>
        </row>
        <row r="1406">
          <cell r="A1406" t="str">
            <v>BXQCO</v>
          </cell>
        </row>
        <row r="1407">
          <cell r="A1407" t="str">
            <v>BXQCOW</v>
          </cell>
        </row>
        <row r="1408">
          <cell r="A1408" t="str">
            <v>BXQCW</v>
          </cell>
        </row>
        <row r="1409">
          <cell r="A1409" t="str">
            <v>BXQL</v>
          </cell>
        </row>
        <row r="1410">
          <cell r="A1410" t="str">
            <v>BXQLW</v>
          </cell>
        </row>
        <row r="1411">
          <cell r="A1411" t="str">
            <v>BXQTW</v>
          </cell>
        </row>
        <row r="1412">
          <cell r="A1412" t="str">
            <v>BXQW</v>
          </cell>
        </row>
        <row r="1413">
          <cell r="A1413" t="str">
            <v>BXR</v>
          </cell>
        </row>
        <row r="1414">
          <cell r="A1414" t="str">
            <v>BXRA</v>
          </cell>
        </row>
        <row r="1415">
          <cell r="A1415" t="str">
            <v>BXRBW</v>
          </cell>
        </row>
        <row r="1416">
          <cell r="A1416" t="str">
            <v>BXRC</v>
          </cell>
        </row>
        <row r="1417">
          <cell r="A1417" t="str">
            <v>BXRCW</v>
          </cell>
        </row>
        <row r="1418">
          <cell r="A1418" t="str">
            <v>BXRH</v>
          </cell>
        </row>
        <row r="1419">
          <cell r="A1419" t="str">
            <v>BXRHB</v>
          </cell>
        </row>
        <row r="1420">
          <cell r="A1420" t="str">
            <v>BXRHH</v>
          </cell>
        </row>
        <row r="1421">
          <cell r="A1421" t="str">
            <v>BXRHW</v>
          </cell>
        </row>
        <row r="1422">
          <cell r="A1422" t="str">
            <v>BXRN</v>
          </cell>
        </row>
        <row r="1423">
          <cell r="A1423" t="str">
            <v>BXRW</v>
          </cell>
        </row>
        <row r="1424">
          <cell r="A1424" t="str">
            <v>BXT</v>
          </cell>
        </row>
        <row r="1425">
          <cell r="A1425" t="str">
            <v>BXTA</v>
          </cell>
        </row>
        <row r="1426">
          <cell r="A1426" t="str">
            <v>BXTAW</v>
          </cell>
        </row>
        <row r="1427">
          <cell r="A1427" t="str">
            <v>BXTW</v>
          </cell>
        </row>
        <row r="1428">
          <cell r="A1428" t="str">
            <v>BXTWA</v>
          </cell>
        </row>
        <row r="1429">
          <cell r="A1429" t="str">
            <v>BXU</v>
          </cell>
        </row>
        <row r="1430">
          <cell r="A1430" t="str">
            <v>BXUW</v>
          </cell>
        </row>
        <row r="1431">
          <cell r="A1431" t="str">
            <v>BXW</v>
          </cell>
        </row>
        <row r="1432">
          <cell r="A1432" t="str">
            <v>BXWB</v>
          </cell>
        </row>
        <row r="1433">
          <cell r="A1433" t="str">
            <v>BXWQ</v>
          </cell>
        </row>
        <row r="1434">
          <cell r="A1434" t="str">
            <v>BXWZ</v>
          </cell>
        </row>
        <row r="1435">
          <cell r="A1435" t="str">
            <v>BYCUST</v>
          </cell>
        </row>
        <row r="1436">
          <cell r="A1436" t="str">
            <v>C-19</v>
          </cell>
        </row>
        <row r="1437">
          <cell r="A1437" t="str">
            <v>CAB</v>
          </cell>
        </row>
        <row r="1438">
          <cell r="A1438" t="str">
            <v>CBR</v>
          </cell>
        </row>
        <row r="1439">
          <cell r="A1439" t="str">
            <v>CBR UD</v>
          </cell>
        </row>
        <row r="1440">
          <cell r="A1440" t="str">
            <v>CBR'DIN'</v>
          </cell>
        </row>
        <row r="1441">
          <cell r="A1441" t="str">
            <v>CBR'DIN' UD</v>
          </cell>
        </row>
        <row r="1442">
          <cell r="A1442" t="str">
            <v>CBR-E</v>
          </cell>
        </row>
        <row r="1443">
          <cell r="A1443" t="str">
            <v>CBR-E 'DIN'</v>
          </cell>
        </row>
        <row r="1444">
          <cell r="A1444" t="str">
            <v>CBR-E 'DIN' UD</v>
          </cell>
        </row>
        <row r="1445">
          <cell r="A1445" t="str">
            <v>CBR-E UD</v>
          </cell>
        </row>
        <row r="1446">
          <cell r="A1446" t="str">
            <v>CBS</v>
          </cell>
        </row>
        <row r="1447">
          <cell r="A1447" t="str">
            <v>CBSC</v>
          </cell>
        </row>
        <row r="1448">
          <cell r="A1448" t="str">
            <v>CBS-E</v>
          </cell>
        </row>
        <row r="1449">
          <cell r="A1449" t="str">
            <v>CBSII</v>
          </cell>
        </row>
        <row r="1450">
          <cell r="A1450" t="str">
            <v>Centipac</v>
          </cell>
        </row>
        <row r="1451">
          <cell r="A1451" t="str">
            <v>CENTIPAC 100</v>
          </cell>
        </row>
        <row r="1452">
          <cell r="A1452" t="str">
            <v>Centipac 102</v>
          </cell>
        </row>
        <row r="1453">
          <cell r="A1453" t="str">
            <v>Centipac 102-145</v>
          </cell>
        </row>
        <row r="1454">
          <cell r="A1454" t="str">
            <v>CENTIPAC 104</v>
          </cell>
        </row>
        <row r="1455">
          <cell r="A1455" t="str">
            <v>CENTIPAC 106</v>
          </cell>
        </row>
        <row r="1456">
          <cell r="A1456" t="str">
            <v>CENTIPAC 107</v>
          </cell>
        </row>
        <row r="1457">
          <cell r="A1457" t="str">
            <v>CENTIPAC 108</v>
          </cell>
        </row>
        <row r="1458">
          <cell r="A1458" t="str">
            <v>CENTIPAC 109</v>
          </cell>
        </row>
        <row r="1459">
          <cell r="A1459" t="str">
            <v>CENTIPAC 110</v>
          </cell>
        </row>
        <row r="1460">
          <cell r="A1460" t="str">
            <v>Centipac 112</v>
          </cell>
        </row>
        <row r="1461">
          <cell r="A1461" t="str">
            <v>CENTIPAC 114</v>
          </cell>
        </row>
        <row r="1462">
          <cell r="A1462" t="str">
            <v>CENTIPAC 116</v>
          </cell>
        </row>
        <row r="1463">
          <cell r="A1463" t="str">
            <v>CENTIPAC 117</v>
          </cell>
        </row>
        <row r="1464">
          <cell r="A1464" t="str">
            <v>CENTIPAC 118</v>
          </cell>
        </row>
        <row r="1465">
          <cell r="A1465" t="str">
            <v>CENTIPAC 119</v>
          </cell>
        </row>
        <row r="1466">
          <cell r="A1466" t="str">
            <v>Centipac 120</v>
          </cell>
        </row>
        <row r="1467">
          <cell r="A1467" t="str">
            <v>Centipac 122</v>
          </cell>
        </row>
        <row r="1468">
          <cell r="A1468" t="str">
            <v>CENTIPAC 124</v>
          </cell>
        </row>
        <row r="1469">
          <cell r="A1469" t="str">
            <v>Centipac 125</v>
          </cell>
        </row>
        <row r="1470">
          <cell r="A1470" t="str">
            <v>CENTIPAC 126</v>
          </cell>
        </row>
        <row r="1471">
          <cell r="A1471" t="str">
            <v>CENTIPAC 127</v>
          </cell>
        </row>
        <row r="1472">
          <cell r="A1472" t="str">
            <v>CENTIPAC 128</v>
          </cell>
        </row>
        <row r="1473">
          <cell r="A1473" t="str">
            <v>CENTIPAC 129</v>
          </cell>
        </row>
        <row r="1474">
          <cell r="A1474" t="str">
            <v>CENTIPAC 132</v>
          </cell>
        </row>
        <row r="1475">
          <cell r="A1475" t="str">
            <v>Centipac 148</v>
          </cell>
        </row>
        <row r="1476">
          <cell r="A1476" t="str">
            <v>CENTIPAC 152L</v>
          </cell>
        </row>
        <row r="1477">
          <cell r="A1477" t="str">
            <v>CENTIPAC 152R</v>
          </cell>
        </row>
        <row r="1478">
          <cell r="A1478" t="str">
            <v>CHEMIE</v>
          </cell>
        </row>
        <row r="1479">
          <cell r="A1479" t="str">
            <v>CHEMIEPAC 956</v>
          </cell>
        </row>
        <row r="1480">
          <cell r="A1480" t="str">
            <v>CHEMIEPAC 970</v>
          </cell>
        </row>
        <row r="1481">
          <cell r="A1481" t="str">
            <v>CHEMIEPAC 978</v>
          </cell>
        </row>
        <row r="1482">
          <cell r="A1482" t="str">
            <v>Circpac</v>
          </cell>
        </row>
        <row r="1483">
          <cell r="A1483" t="str">
            <v>Circpac HP</v>
          </cell>
        </row>
        <row r="1484">
          <cell r="A1484" t="str">
            <v>CIRCPAC LO</v>
          </cell>
        </row>
        <row r="1485">
          <cell r="A1485" t="str">
            <v>Circpac MD</v>
          </cell>
        </row>
        <row r="1486">
          <cell r="A1486" t="str">
            <v>COBXW</v>
          </cell>
        </row>
        <row r="1487">
          <cell r="A1487" t="str">
            <v>CONTROLLED GAP SEAL</v>
          </cell>
        </row>
        <row r="1488">
          <cell r="A1488" t="str">
            <v>CPM</v>
          </cell>
        </row>
        <row r="1489">
          <cell r="A1489" t="str">
            <v>CPO</v>
          </cell>
        </row>
        <row r="1490">
          <cell r="A1490" t="str">
            <v>CRANE</v>
          </cell>
        </row>
        <row r="1491">
          <cell r="A1491" t="str">
            <v>CRO</v>
          </cell>
        </row>
        <row r="1492">
          <cell r="A1492" t="str">
            <v>CRO'DIN'</v>
          </cell>
        </row>
        <row r="1493">
          <cell r="A1493" t="str">
            <v>CRO'ISO'</v>
          </cell>
        </row>
        <row r="1494">
          <cell r="A1494" t="str">
            <v>CRO-P</v>
          </cell>
        </row>
        <row r="1495">
          <cell r="A1495" t="str">
            <v>CRO-P'ISO'</v>
          </cell>
        </row>
        <row r="1496">
          <cell r="A1496" t="str">
            <v>CROSS DRILLED</v>
          </cell>
        </row>
        <row r="1497">
          <cell r="A1497" t="str">
            <v>CRO-T</v>
          </cell>
        </row>
        <row r="1498">
          <cell r="A1498" t="str">
            <v>CRO-T'DIN'</v>
          </cell>
        </row>
        <row r="1499">
          <cell r="A1499" t="str">
            <v>CRO-T'ISO'</v>
          </cell>
        </row>
        <row r="1500">
          <cell r="A1500" t="str">
            <v>CRO-TP</v>
          </cell>
        </row>
        <row r="1501">
          <cell r="A1501" t="str">
            <v>CUSTOM</v>
          </cell>
        </row>
        <row r="1502">
          <cell r="A1502" t="str">
            <v>CUSTOM METRIC P-50</v>
          </cell>
        </row>
        <row r="1503">
          <cell r="A1503" t="str">
            <v>CUSTOM P-200</v>
          </cell>
        </row>
        <row r="1504">
          <cell r="A1504" t="str">
            <v>CUSTOM P-50</v>
          </cell>
        </row>
        <row r="1505">
          <cell r="A1505" t="str">
            <v>CUSTOM P-50(SLD)</v>
          </cell>
        </row>
        <row r="1506">
          <cell r="A1506" t="str">
            <v>CUSTOM P-50-E</v>
          </cell>
        </row>
        <row r="1507">
          <cell r="A1507" t="str">
            <v>CUSTOM-P50</v>
          </cell>
        </row>
        <row r="1508">
          <cell r="A1508" t="str">
            <v>D</v>
          </cell>
        </row>
        <row r="1509">
          <cell r="A1509" t="str">
            <v>DB</v>
          </cell>
        </row>
        <row r="1510">
          <cell r="A1510" t="str">
            <v>DGS</v>
          </cell>
        </row>
        <row r="1511">
          <cell r="A1511" t="str">
            <v>DH</v>
          </cell>
        </row>
        <row r="1512">
          <cell r="A1512" t="str">
            <v>DHI</v>
          </cell>
        </row>
        <row r="1513">
          <cell r="A1513" t="str">
            <v>D-HP</v>
          </cell>
        </row>
        <row r="1514">
          <cell r="A1514" t="str">
            <v>DHPW</v>
          </cell>
        </row>
        <row r="1515">
          <cell r="A1515" t="str">
            <v>DHT</v>
          </cell>
        </row>
        <row r="1516">
          <cell r="A1516" t="str">
            <v>DHTW</v>
          </cell>
        </row>
        <row r="1517">
          <cell r="A1517" t="str">
            <v>DHW</v>
          </cell>
        </row>
        <row r="1518">
          <cell r="A1518" t="str">
            <v>DM</v>
          </cell>
        </row>
        <row r="1519">
          <cell r="A1519" t="str">
            <v>DMC 2-PC MODEL</v>
          </cell>
        </row>
        <row r="1520">
          <cell r="A1520" t="str">
            <v>DMP</v>
          </cell>
        </row>
        <row r="1521">
          <cell r="A1521" t="str">
            <v>DMPW</v>
          </cell>
        </row>
        <row r="1522">
          <cell r="A1522" t="str">
            <v>DMW</v>
          </cell>
        </row>
        <row r="1523">
          <cell r="A1523" t="str">
            <v>DOPW</v>
          </cell>
        </row>
        <row r="1524">
          <cell r="A1524" t="str">
            <v>DP</v>
          </cell>
        </row>
        <row r="1525">
          <cell r="A1525" t="str">
            <v>DPW</v>
          </cell>
        </row>
        <row r="1526">
          <cell r="A1526" t="str">
            <v>DQ</v>
          </cell>
        </row>
        <row r="1527">
          <cell r="A1527" t="str">
            <v>DQW</v>
          </cell>
        </row>
        <row r="1528">
          <cell r="A1528" t="str">
            <v>DUZD</v>
          </cell>
        </row>
        <row r="1529">
          <cell r="A1529" t="str">
            <v>DW</v>
          </cell>
        </row>
        <row r="1530">
          <cell r="A1530" t="str">
            <v>DWHP</v>
          </cell>
        </row>
        <row r="1531">
          <cell r="A1531" t="str">
            <v>DW-HP</v>
          </cell>
        </row>
        <row r="1532">
          <cell r="A1532" t="str">
            <v>DX</v>
          </cell>
        </row>
        <row r="1533">
          <cell r="A1533" t="str">
            <v>DXD</v>
          </cell>
        </row>
        <row r="1534">
          <cell r="A1534" t="str">
            <v>DXPW</v>
          </cell>
        </row>
        <row r="1535">
          <cell r="A1535" t="str">
            <v>DXQ</v>
          </cell>
        </row>
        <row r="1536">
          <cell r="A1536" t="str">
            <v>DXW</v>
          </cell>
        </row>
        <row r="1537">
          <cell r="A1537" t="str">
            <v>DZ</v>
          </cell>
        </row>
        <row r="1538">
          <cell r="A1538" t="str">
            <v>DZD</v>
          </cell>
        </row>
        <row r="1539">
          <cell r="A1539" t="str">
            <v>DZHP</v>
          </cell>
        </row>
        <row r="1540">
          <cell r="A1540" t="str">
            <v>DZOPW</v>
          </cell>
        </row>
        <row r="1541">
          <cell r="A1541" t="str">
            <v>DZP</v>
          </cell>
        </row>
        <row r="1542">
          <cell r="A1542" t="str">
            <v>DZPQ</v>
          </cell>
        </row>
        <row r="1543">
          <cell r="A1543" t="str">
            <v>DZPQW</v>
          </cell>
        </row>
        <row r="1544">
          <cell r="A1544" t="str">
            <v>DZPW</v>
          </cell>
        </row>
        <row r="1545">
          <cell r="A1545" t="str">
            <v>DZQ</v>
          </cell>
        </row>
        <row r="1546">
          <cell r="A1546" t="str">
            <v>DZQW</v>
          </cell>
        </row>
        <row r="1547">
          <cell r="A1547" t="str">
            <v>DZW</v>
          </cell>
        </row>
        <row r="1548">
          <cell r="A1548" t="str">
            <v>E</v>
          </cell>
        </row>
        <row r="1549">
          <cell r="A1549" t="str">
            <v>EB-21</v>
          </cell>
        </row>
        <row r="1550">
          <cell r="A1550" t="str">
            <v>EB-55</v>
          </cell>
        </row>
        <row r="1551">
          <cell r="A1551" t="str">
            <v>EB-55C</v>
          </cell>
        </row>
        <row r="1552">
          <cell r="A1552" t="str">
            <v>ECG</v>
          </cell>
        </row>
        <row r="1553">
          <cell r="A1553" t="str">
            <v>EMS</v>
          </cell>
        </row>
        <row r="1554">
          <cell r="A1554" t="str">
            <v>EMSRW</v>
          </cell>
        </row>
        <row r="1555">
          <cell r="A1555" t="str">
            <v>EMSW</v>
          </cell>
        </row>
        <row r="1556">
          <cell r="A1556" t="str">
            <v>EQ</v>
          </cell>
        </row>
        <row r="1557">
          <cell r="A1557" t="str">
            <v>EQLW</v>
          </cell>
        </row>
        <row r="1558">
          <cell r="A1558" t="str">
            <v>ERW</v>
          </cell>
        </row>
        <row r="1559">
          <cell r="A1559" t="str">
            <v>Europac</v>
          </cell>
        </row>
        <row r="1560">
          <cell r="A1560" t="str">
            <v>EUROPAC 2610</v>
          </cell>
        </row>
        <row r="1561">
          <cell r="A1561" t="str">
            <v>Europac 306</v>
          </cell>
        </row>
        <row r="1562">
          <cell r="A1562" t="str">
            <v>EUROPAC 307</v>
          </cell>
        </row>
        <row r="1563">
          <cell r="A1563" t="str">
            <v>Europac 600</v>
          </cell>
        </row>
        <row r="1564">
          <cell r="A1564" t="str">
            <v>Europac 600/650</v>
          </cell>
        </row>
        <row r="1565">
          <cell r="A1565" t="str">
            <v>EUROPAC 603</v>
          </cell>
        </row>
        <row r="1566">
          <cell r="A1566" t="str">
            <v>Europac 610</v>
          </cell>
        </row>
        <row r="1567">
          <cell r="A1567" t="str">
            <v>Europac 610 W</v>
          </cell>
        </row>
        <row r="1568">
          <cell r="A1568" t="str">
            <v>Europac 610/660</v>
          </cell>
        </row>
        <row r="1569">
          <cell r="A1569" t="str">
            <v>Europac 613</v>
          </cell>
        </row>
        <row r="1570">
          <cell r="A1570" t="str">
            <v>Europac 615</v>
          </cell>
        </row>
        <row r="1571">
          <cell r="A1571" t="str">
            <v>Europac 648</v>
          </cell>
        </row>
        <row r="1572">
          <cell r="A1572" t="str">
            <v>Europac 649</v>
          </cell>
        </row>
        <row r="1573">
          <cell r="A1573" t="str">
            <v>Europac 650</v>
          </cell>
        </row>
        <row r="1574">
          <cell r="A1574" t="str">
            <v>Europac 656</v>
          </cell>
        </row>
        <row r="1575">
          <cell r="A1575" t="str">
            <v>Europac 660</v>
          </cell>
        </row>
        <row r="1576">
          <cell r="A1576" t="str">
            <v>Europac 663</v>
          </cell>
        </row>
        <row r="1577">
          <cell r="A1577" t="str">
            <v>EUROPAC 664</v>
          </cell>
        </row>
        <row r="1578">
          <cell r="A1578" t="str">
            <v>Europac 665</v>
          </cell>
        </row>
        <row r="1579">
          <cell r="A1579" t="str">
            <v>Europac 670</v>
          </cell>
        </row>
        <row r="1580">
          <cell r="A1580" t="str">
            <v>Europac 680</v>
          </cell>
        </row>
        <row r="1581">
          <cell r="A1581" t="str">
            <v>EUROPAC 690</v>
          </cell>
        </row>
        <row r="1582">
          <cell r="A1582" t="str">
            <v>EUROPAC 694L</v>
          </cell>
        </row>
        <row r="1583">
          <cell r="A1583" t="str">
            <v>EUROPAC 694R</v>
          </cell>
        </row>
        <row r="1584">
          <cell r="A1584" t="str">
            <v>EUROPAC 695R</v>
          </cell>
        </row>
        <row r="1585">
          <cell r="A1585" t="str">
            <v>EXP</v>
          </cell>
        </row>
        <row r="1586">
          <cell r="A1586" t="str">
            <v>FRO</v>
          </cell>
        </row>
        <row r="1587">
          <cell r="A1587" t="str">
            <v>FRO'DIN'</v>
          </cell>
        </row>
        <row r="1588">
          <cell r="A1588" t="str">
            <v>FRO'ISO'</v>
          </cell>
        </row>
        <row r="1589">
          <cell r="A1589" t="str">
            <v>FRO-S</v>
          </cell>
        </row>
        <row r="1590">
          <cell r="A1590" t="str">
            <v>FRO-TT</v>
          </cell>
        </row>
        <row r="1591">
          <cell r="A1591" t="str">
            <v>FRO-TT'DIN'</v>
          </cell>
        </row>
        <row r="1592">
          <cell r="A1592" t="str">
            <v>FRO-TT'ISO'</v>
          </cell>
        </row>
        <row r="1593">
          <cell r="A1593" t="str">
            <v>FRO-TT-S</v>
          </cell>
        </row>
        <row r="1594">
          <cell r="A1594" t="str">
            <v>FS</v>
          </cell>
        </row>
        <row r="1595">
          <cell r="A1595" t="str">
            <v>FSM/110</v>
          </cell>
        </row>
        <row r="1596">
          <cell r="A1596" t="str">
            <v>FSS 24</v>
          </cell>
        </row>
        <row r="1597">
          <cell r="A1597" t="str">
            <v>FW</v>
          </cell>
        </row>
        <row r="1598">
          <cell r="A1598" t="str">
            <v>FWW</v>
          </cell>
        </row>
        <row r="1599">
          <cell r="A1599" t="str">
            <v>FXP</v>
          </cell>
        </row>
        <row r="1600">
          <cell r="A1600" t="str">
            <v>G</v>
          </cell>
        </row>
        <row r="1601">
          <cell r="A1601" t="str">
            <v>GASPAC</v>
          </cell>
        </row>
        <row r="1602">
          <cell r="A1602" t="str">
            <v>GASPAC D-IR</v>
          </cell>
        </row>
        <row r="1603">
          <cell r="A1603" t="str">
            <v>GASPAC S-IR</v>
          </cell>
        </row>
        <row r="1604">
          <cell r="A1604" t="str">
            <v>GASPAC-D</v>
          </cell>
        </row>
        <row r="1605">
          <cell r="A1605" t="str">
            <v>GASPAC-L</v>
          </cell>
        </row>
        <row r="1606">
          <cell r="A1606" t="str">
            <v>GASPAC-S</v>
          </cell>
        </row>
        <row r="1607">
          <cell r="A1607" t="str">
            <v>GASPAC-SRD</v>
          </cell>
        </row>
        <row r="1608">
          <cell r="A1608" t="str">
            <v>GASPAC-T</v>
          </cell>
        </row>
        <row r="1609">
          <cell r="A1609" t="str">
            <v>GASPAC-TL</v>
          </cell>
        </row>
        <row r="1610">
          <cell r="A1610" t="str">
            <v>GB-100</v>
          </cell>
        </row>
        <row r="1611">
          <cell r="A1611" t="str">
            <v>GB-200</v>
          </cell>
        </row>
        <row r="1612">
          <cell r="A1612" t="str">
            <v>GB-200 IN-LINE</v>
          </cell>
        </row>
        <row r="1613">
          <cell r="A1613" t="str">
            <v>GB-200 IN-LINE'DIN'</v>
          </cell>
        </row>
        <row r="1614">
          <cell r="A1614" t="str">
            <v>GB-200-W</v>
          </cell>
        </row>
        <row r="1615">
          <cell r="A1615" t="str">
            <v>GB-300</v>
          </cell>
        </row>
        <row r="1616">
          <cell r="A1616" t="str">
            <v>GBX</v>
          </cell>
        </row>
        <row r="1617">
          <cell r="A1617" t="str">
            <v>GBXH</v>
          </cell>
        </row>
        <row r="1618">
          <cell r="A1618" t="str">
            <v>GBXLS</v>
          </cell>
        </row>
        <row r="1619">
          <cell r="A1619" t="str">
            <v>GBXLSQ</v>
          </cell>
        </row>
        <row r="1620">
          <cell r="A1620" t="str">
            <v>GBXLSW</v>
          </cell>
        </row>
        <row r="1621">
          <cell r="A1621" t="str">
            <v>GBXQ</v>
          </cell>
        </row>
        <row r="1622">
          <cell r="A1622" t="str">
            <v>GBXQW</v>
          </cell>
        </row>
        <row r="1623">
          <cell r="A1623" t="str">
            <v>GBXRH</v>
          </cell>
        </row>
        <row r="1624">
          <cell r="A1624" t="str">
            <v>GBXW</v>
          </cell>
        </row>
        <row r="1625">
          <cell r="A1625" t="str">
            <v>GC-100</v>
          </cell>
        </row>
        <row r="1626">
          <cell r="A1626" t="str">
            <v>GC-200</v>
          </cell>
        </row>
        <row r="1627">
          <cell r="A1627" t="str">
            <v>GC-300</v>
          </cell>
        </row>
        <row r="1628">
          <cell r="A1628" t="str">
            <v>GC-300L</v>
          </cell>
        </row>
        <row r="1629">
          <cell r="A1629" t="str">
            <v>GCX</v>
          </cell>
        </row>
        <row r="1630">
          <cell r="A1630" t="str">
            <v>GE-200</v>
          </cell>
        </row>
        <row r="1631">
          <cell r="A1631" t="str">
            <v>GF-100</v>
          </cell>
        </row>
        <row r="1632">
          <cell r="A1632" t="str">
            <v>GF-200</v>
          </cell>
        </row>
        <row r="1633">
          <cell r="A1633" t="str">
            <v>GF-200W</v>
          </cell>
        </row>
        <row r="1634">
          <cell r="A1634" t="str">
            <v>GF-300</v>
          </cell>
        </row>
        <row r="1635">
          <cell r="A1635" t="str">
            <v>GL-100</v>
          </cell>
        </row>
        <row r="1636">
          <cell r="A1636" t="str">
            <v>GL-200</v>
          </cell>
        </row>
        <row r="1637">
          <cell r="A1637" t="str">
            <v>GLS</v>
          </cell>
        </row>
        <row r="1638">
          <cell r="A1638" t="str">
            <v>GLSL</v>
          </cell>
        </row>
        <row r="1639">
          <cell r="A1639" t="str">
            <v>GLSLP</v>
          </cell>
        </row>
        <row r="1640">
          <cell r="A1640" t="str">
            <v>GLSLW</v>
          </cell>
        </row>
        <row r="1641">
          <cell r="A1641" t="str">
            <v>GLSLZ</v>
          </cell>
        </row>
        <row r="1642">
          <cell r="A1642" t="str">
            <v>GLSP</v>
          </cell>
        </row>
        <row r="1643">
          <cell r="A1643" t="str">
            <v>GLSW</v>
          </cell>
        </row>
        <row r="1644">
          <cell r="A1644" t="str">
            <v>GLW</v>
          </cell>
        </row>
        <row r="1645">
          <cell r="A1645" t="str">
            <v>GQBLK</v>
          </cell>
        </row>
        <row r="1646">
          <cell r="A1646" t="str">
            <v>GQBLQ</v>
          </cell>
        </row>
        <row r="1647">
          <cell r="A1647" t="str">
            <v>GQBLW</v>
          </cell>
        </row>
        <row r="1648">
          <cell r="A1648" t="str">
            <v>GQBQ</v>
          </cell>
        </row>
        <row r="1649">
          <cell r="A1649" t="str">
            <v>GS</v>
          </cell>
        </row>
        <row r="1650">
          <cell r="A1650" t="str">
            <v>GS-200</v>
          </cell>
        </row>
        <row r="1651">
          <cell r="A1651" t="str">
            <v>GSD</v>
          </cell>
        </row>
        <row r="1652">
          <cell r="A1652" t="str">
            <v>GSDH</v>
          </cell>
        </row>
        <row r="1653">
          <cell r="A1653" t="str">
            <v>GSDHW</v>
          </cell>
        </row>
        <row r="1654">
          <cell r="A1654" t="str">
            <v>GSDW</v>
          </cell>
        </row>
        <row r="1655">
          <cell r="A1655" t="str">
            <v>GSG</v>
          </cell>
        </row>
        <row r="1656">
          <cell r="A1656" t="str">
            <v>GSGL</v>
          </cell>
        </row>
        <row r="1657">
          <cell r="A1657" t="str">
            <v>GSGW</v>
          </cell>
        </row>
        <row r="1658">
          <cell r="A1658" t="str">
            <v>GSI</v>
          </cell>
        </row>
        <row r="1659">
          <cell r="A1659" t="str">
            <v>GSL</v>
          </cell>
        </row>
        <row r="1660">
          <cell r="A1660" t="str">
            <v>GSLRW</v>
          </cell>
        </row>
        <row r="1661">
          <cell r="A1661" t="str">
            <v>GSLW</v>
          </cell>
        </row>
        <row r="1662">
          <cell r="A1662" t="str">
            <v>GSLX</v>
          </cell>
        </row>
        <row r="1663">
          <cell r="A1663" t="str">
            <v>GSS</v>
          </cell>
        </row>
        <row r="1664">
          <cell r="A1664" t="str">
            <v>GSSP</v>
          </cell>
        </row>
        <row r="1665">
          <cell r="A1665" t="str">
            <v>GSSRW</v>
          </cell>
        </row>
        <row r="1666">
          <cell r="A1666" t="str">
            <v>GSSW</v>
          </cell>
        </row>
        <row r="1667">
          <cell r="A1667" t="str">
            <v>GSW</v>
          </cell>
        </row>
        <row r="1668">
          <cell r="A1668" t="str">
            <v>GSWI</v>
          </cell>
        </row>
        <row r="1669">
          <cell r="A1669" t="str">
            <v>GTS</v>
          </cell>
        </row>
        <row r="1670">
          <cell r="A1670" t="str">
            <v>GTSW</v>
          </cell>
        </row>
        <row r="1671">
          <cell r="A1671" t="str">
            <v>GU</v>
          </cell>
        </row>
        <row r="1672">
          <cell r="A1672" t="str">
            <v>GUC</v>
          </cell>
        </row>
        <row r="1673">
          <cell r="A1673" t="str">
            <v>GUCQ</v>
          </cell>
        </row>
        <row r="1674">
          <cell r="A1674" t="str">
            <v>GUCW</v>
          </cell>
        </row>
        <row r="1675">
          <cell r="A1675" t="str">
            <v>GUQ</v>
          </cell>
        </row>
        <row r="1676">
          <cell r="A1676" t="str">
            <v>GUW</v>
          </cell>
        </row>
        <row r="1677">
          <cell r="A1677" t="str">
            <v>GUZ</v>
          </cell>
        </row>
        <row r="1678">
          <cell r="A1678" t="str">
            <v>GUZC</v>
          </cell>
        </row>
        <row r="1679">
          <cell r="A1679" t="str">
            <v>GUZCW</v>
          </cell>
        </row>
        <row r="1680">
          <cell r="A1680" t="str">
            <v>GUZCWQ</v>
          </cell>
        </row>
        <row r="1681">
          <cell r="A1681" t="str">
            <v>GUZDW</v>
          </cell>
        </row>
        <row r="1682">
          <cell r="A1682" t="str">
            <v>GUZW</v>
          </cell>
        </row>
        <row r="1683">
          <cell r="A1683" t="str">
            <v>GW</v>
          </cell>
        </row>
        <row r="1684">
          <cell r="A1684" t="str">
            <v>GWA</v>
          </cell>
        </row>
        <row r="1685">
          <cell r="A1685" t="str">
            <v>GWP</v>
          </cell>
        </row>
        <row r="1686">
          <cell r="A1686" t="str">
            <v>GWQ</v>
          </cell>
        </row>
        <row r="1687">
          <cell r="A1687" t="str">
            <v>GWQW</v>
          </cell>
        </row>
        <row r="1688">
          <cell r="A1688" t="str">
            <v>GWS</v>
          </cell>
        </row>
        <row r="1689">
          <cell r="A1689" t="str">
            <v>GWUHT</v>
          </cell>
        </row>
        <row r="1690">
          <cell r="A1690" t="str">
            <v>GWW</v>
          </cell>
        </row>
        <row r="1691">
          <cell r="A1691" t="str">
            <v>GWX</v>
          </cell>
        </row>
        <row r="1692">
          <cell r="A1692" t="str">
            <v>GX</v>
          </cell>
        </row>
        <row r="1693">
          <cell r="A1693" t="str">
            <v>GX-200</v>
          </cell>
        </row>
        <row r="1694">
          <cell r="A1694" t="str">
            <v>GX-200W</v>
          </cell>
        </row>
        <row r="1695">
          <cell r="A1695" t="str">
            <v>HD</v>
          </cell>
        </row>
        <row r="1696">
          <cell r="A1696" t="str">
            <v>HD'DIN'</v>
          </cell>
        </row>
        <row r="1697">
          <cell r="A1697" t="str">
            <v>HDH</v>
          </cell>
        </row>
        <row r="1698">
          <cell r="A1698" t="str">
            <v>HDHW</v>
          </cell>
        </row>
        <row r="1699">
          <cell r="A1699" t="str">
            <v>HDW</v>
          </cell>
        </row>
        <row r="1700">
          <cell r="A1700" t="str">
            <v>HPO-D</v>
          </cell>
        </row>
        <row r="1701">
          <cell r="A1701" t="str">
            <v>HPOS</v>
          </cell>
        </row>
        <row r="1702">
          <cell r="A1702" t="str">
            <v>HPT</v>
          </cell>
        </row>
        <row r="1703">
          <cell r="A1703" t="str">
            <v>HPTO</v>
          </cell>
        </row>
        <row r="1704">
          <cell r="A1704" t="str">
            <v>HS</v>
          </cell>
        </row>
        <row r="1705">
          <cell r="A1705" t="str">
            <v>HSB</v>
          </cell>
        </row>
        <row r="1706">
          <cell r="A1706" t="str">
            <v>HSC</v>
          </cell>
        </row>
        <row r="1707">
          <cell r="A1707" t="str">
            <v>HSC-E</v>
          </cell>
        </row>
        <row r="1708">
          <cell r="A1708" t="str">
            <v>HSC-EN</v>
          </cell>
        </row>
        <row r="1709">
          <cell r="A1709" t="str">
            <v>HSD</v>
          </cell>
        </row>
        <row r="1710">
          <cell r="A1710" t="str">
            <v>HS-E</v>
          </cell>
        </row>
        <row r="1711">
          <cell r="A1711" t="str">
            <v>HS-EN</v>
          </cell>
        </row>
        <row r="1712">
          <cell r="A1712" t="str">
            <v>HSH</v>
          </cell>
        </row>
        <row r="1713">
          <cell r="A1713" t="str">
            <v>HSH-F</v>
          </cell>
        </row>
        <row r="1714">
          <cell r="A1714" t="str">
            <v>HSI</v>
          </cell>
        </row>
        <row r="1715">
          <cell r="A1715" t="str">
            <v>HSPO-D</v>
          </cell>
        </row>
        <row r="1716">
          <cell r="A1716" t="str">
            <v>HSPT</v>
          </cell>
        </row>
        <row r="1717">
          <cell r="A1717" t="str">
            <v>HSPT-E</v>
          </cell>
        </row>
        <row r="1718">
          <cell r="A1718" t="str">
            <v>HSPTO</v>
          </cell>
        </row>
        <row r="1719">
          <cell r="A1719" t="str">
            <v>HSPTO-E</v>
          </cell>
        </row>
        <row r="1720">
          <cell r="A1720" t="str">
            <v>HSS</v>
          </cell>
        </row>
        <row r="1721">
          <cell r="A1721" t="str">
            <v>HSS-B</v>
          </cell>
        </row>
        <row r="1722">
          <cell r="A1722" t="str">
            <v>HSS-E</v>
          </cell>
        </row>
        <row r="1723">
          <cell r="A1723" t="str">
            <v>HST</v>
          </cell>
        </row>
        <row r="1724">
          <cell r="A1724" t="str">
            <v>ICS</v>
          </cell>
        </row>
        <row r="1725">
          <cell r="A1725" t="str">
            <v>ICS1BX</v>
          </cell>
        </row>
        <row r="1726">
          <cell r="A1726" t="str">
            <v>INPROSEAL</v>
          </cell>
        </row>
        <row r="1727">
          <cell r="A1727" t="str">
            <v>INT</v>
          </cell>
        </row>
        <row r="1728">
          <cell r="A1728" t="str">
            <v>INT 2</v>
          </cell>
        </row>
        <row r="1729">
          <cell r="A1729" t="str">
            <v>INT 4</v>
          </cell>
        </row>
        <row r="1730">
          <cell r="A1730" t="str">
            <v>Interseal</v>
          </cell>
        </row>
        <row r="1731">
          <cell r="A1731" t="str">
            <v>Interseal Group</v>
          </cell>
        </row>
        <row r="1732">
          <cell r="A1732" t="str">
            <v>INTGP4</v>
          </cell>
        </row>
        <row r="1733">
          <cell r="A1733" t="str">
            <v>INTGR2</v>
          </cell>
        </row>
        <row r="1734">
          <cell r="A1734" t="str">
            <v>INTRSL</v>
          </cell>
        </row>
        <row r="1735">
          <cell r="A1735" t="str">
            <v>INTW</v>
          </cell>
        </row>
        <row r="1736">
          <cell r="A1736" t="str">
            <v>ISC</v>
          </cell>
        </row>
        <row r="1737">
          <cell r="A1737" t="str">
            <v>ISC1BX</v>
          </cell>
        </row>
        <row r="1738">
          <cell r="A1738" t="str">
            <v>ISC1BXW</v>
          </cell>
        </row>
        <row r="1739">
          <cell r="A1739" t="str">
            <v>ISC1EX</v>
          </cell>
        </row>
        <row r="1740">
          <cell r="A1740" t="str">
            <v>ISC1EXW</v>
          </cell>
        </row>
        <row r="1741">
          <cell r="A1741" t="str">
            <v>ISC1PX</v>
          </cell>
        </row>
        <row r="1742">
          <cell r="A1742" t="str">
            <v>ISC1PXW</v>
          </cell>
        </row>
        <row r="1743">
          <cell r="A1743" t="str">
            <v>ISC1SX</v>
          </cell>
        </row>
        <row r="1744">
          <cell r="A1744" t="str">
            <v>ISC1SXW</v>
          </cell>
        </row>
        <row r="1745">
          <cell r="A1745" t="str">
            <v>ISC1XB</v>
          </cell>
        </row>
        <row r="1746">
          <cell r="A1746" t="str">
            <v>ISC1XBW</v>
          </cell>
        </row>
        <row r="1747">
          <cell r="A1747" t="str">
            <v>ISC1XP</v>
          </cell>
        </row>
        <row r="1748">
          <cell r="A1748" t="str">
            <v>ISC1XPW</v>
          </cell>
        </row>
        <row r="1749">
          <cell r="A1749" t="str">
            <v>ISC1XS</v>
          </cell>
        </row>
        <row r="1750">
          <cell r="A1750" t="str">
            <v>ISC1XSW</v>
          </cell>
        </row>
        <row r="1751">
          <cell r="A1751" t="str">
            <v>ISC2BB</v>
          </cell>
        </row>
        <row r="1752">
          <cell r="A1752" t="str">
            <v>ISC2BBW</v>
          </cell>
        </row>
        <row r="1753">
          <cell r="A1753" t="str">
            <v>ISC2BP</v>
          </cell>
        </row>
        <row r="1754">
          <cell r="A1754" t="str">
            <v>ISC2BPW</v>
          </cell>
        </row>
        <row r="1755">
          <cell r="A1755" t="str">
            <v>ISC2BS</v>
          </cell>
        </row>
        <row r="1756">
          <cell r="A1756" t="str">
            <v>ISC2BSW</v>
          </cell>
        </row>
        <row r="1757">
          <cell r="A1757" t="str">
            <v>ISC2PB</v>
          </cell>
        </row>
        <row r="1758">
          <cell r="A1758" t="str">
            <v>ISC2PBW</v>
          </cell>
        </row>
        <row r="1759">
          <cell r="A1759" t="str">
            <v>ISC2PP</v>
          </cell>
        </row>
        <row r="1760">
          <cell r="A1760" t="str">
            <v>ISC2PPW</v>
          </cell>
        </row>
        <row r="1761">
          <cell r="A1761" t="str">
            <v>ISC2SS</v>
          </cell>
        </row>
        <row r="1762">
          <cell r="A1762" t="str">
            <v>ISC2SSW</v>
          </cell>
        </row>
        <row r="1763">
          <cell r="A1763" t="str">
            <v>ISC682</v>
          </cell>
        </row>
        <row r="1764">
          <cell r="A1764" t="str">
            <v>ISCW</v>
          </cell>
        </row>
        <row r="1765">
          <cell r="A1765" t="str">
            <v>JW</v>
          </cell>
        </row>
        <row r="1766">
          <cell r="A1766" t="str">
            <v>L</v>
          </cell>
        </row>
        <row r="1767">
          <cell r="A1767" t="str">
            <v>LB</v>
          </cell>
        </row>
        <row r="1768">
          <cell r="A1768" t="str">
            <v>LD-50</v>
          </cell>
        </row>
        <row r="1769">
          <cell r="A1769" t="str">
            <v>LD'DIN'</v>
          </cell>
        </row>
        <row r="1770">
          <cell r="A1770" t="str">
            <v>LD-TH'DIN'</v>
          </cell>
        </row>
        <row r="1771">
          <cell r="A1771" t="str">
            <v>LDW</v>
          </cell>
        </row>
        <row r="1772">
          <cell r="A1772" t="str">
            <v>LIDOPAC</v>
          </cell>
        </row>
        <row r="1773">
          <cell r="A1773" t="str">
            <v>LIFE</v>
          </cell>
        </row>
        <row r="1774">
          <cell r="A1774" t="str">
            <v>LK</v>
          </cell>
        </row>
        <row r="1775">
          <cell r="A1775" t="str">
            <v>LKW</v>
          </cell>
        </row>
        <row r="1776">
          <cell r="A1776" t="str">
            <v>LPT</v>
          </cell>
        </row>
        <row r="1777">
          <cell r="A1777" t="str">
            <v>LPTO</v>
          </cell>
        </row>
        <row r="1778">
          <cell r="A1778" t="str">
            <v>L-PTO</v>
          </cell>
        </row>
        <row r="1779">
          <cell r="A1779" t="str">
            <v>LPTO-E</v>
          </cell>
        </row>
        <row r="1780">
          <cell r="A1780" t="str">
            <v>LS</v>
          </cell>
        </row>
        <row r="1781">
          <cell r="A1781" t="str">
            <v>LS-300</v>
          </cell>
        </row>
        <row r="1782">
          <cell r="A1782" t="str">
            <v>LS3000</v>
          </cell>
        </row>
        <row r="1783">
          <cell r="A1783" t="str">
            <v>W</v>
          </cell>
        </row>
        <row r="1784">
          <cell r="A1784" t="str">
            <v>LWW</v>
          </cell>
        </row>
        <row r="1785">
          <cell r="A1785" t="str">
            <v>LX</v>
          </cell>
        </row>
        <row r="1786">
          <cell r="A1786" t="str">
            <v>M-201</v>
          </cell>
        </row>
        <row r="1787">
          <cell r="A1787" t="str">
            <v>MAG</v>
          </cell>
        </row>
        <row r="1788">
          <cell r="A1788" t="str">
            <v>MAG SE</v>
          </cell>
        </row>
        <row r="1789">
          <cell r="A1789" t="str">
            <v>MANRO</v>
          </cell>
        </row>
        <row r="1790">
          <cell r="A1790" t="str">
            <v>MARINE CRO</v>
          </cell>
        </row>
        <row r="1791">
          <cell r="A1791" t="str">
            <v>MCRO</v>
          </cell>
        </row>
        <row r="1792">
          <cell r="A1792" t="str">
            <v>MCRO-T</v>
          </cell>
        </row>
        <row r="1793">
          <cell r="A1793" t="str">
            <v>MD</v>
          </cell>
        </row>
        <row r="1794">
          <cell r="A1794" t="str">
            <v>MD-100</v>
          </cell>
        </row>
        <row r="1795">
          <cell r="A1795" t="str">
            <v>MD-200</v>
          </cell>
        </row>
        <row r="1796">
          <cell r="A1796" t="str">
            <v>METRIC CBR</v>
          </cell>
        </row>
        <row r="1797">
          <cell r="A1797" t="str">
            <v>METRIC CBR UD</v>
          </cell>
        </row>
        <row r="1798">
          <cell r="A1798" t="str">
            <v>METRIC CBR-E</v>
          </cell>
        </row>
        <row r="1799">
          <cell r="A1799" t="str">
            <v>METRIC CBS</v>
          </cell>
        </row>
        <row r="1800">
          <cell r="A1800" t="str">
            <v>METRIC CBS-E</v>
          </cell>
        </row>
        <row r="1801">
          <cell r="A1801" t="str">
            <v>METRIC CUSTOM P-50</v>
          </cell>
        </row>
        <row r="1802">
          <cell r="A1802" t="str">
            <v>METRIC MSS</v>
          </cell>
        </row>
        <row r="1803">
          <cell r="A1803" t="str">
            <v>METRIC P-200</v>
          </cell>
        </row>
        <row r="1804">
          <cell r="A1804" t="str">
            <v>METRIC P-50</v>
          </cell>
        </row>
        <row r="1805">
          <cell r="A1805" t="str">
            <v>METRIC PBR</v>
          </cell>
        </row>
        <row r="1806">
          <cell r="A1806" t="str">
            <v>METRIC PBR W/LUG</v>
          </cell>
        </row>
        <row r="1807">
          <cell r="A1807" t="str">
            <v>METRIC PBR-E</v>
          </cell>
        </row>
        <row r="1808">
          <cell r="A1808" t="str">
            <v>METRIC PBS</v>
          </cell>
        </row>
        <row r="1809">
          <cell r="A1809" t="str">
            <v>METRIC PBS-E</v>
          </cell>
        </row>
        <row r="1810">
          <cell r="A1810" t="str">
            <v>METRIC POS</v>
          </cell>
        </row>
        <row r="1811">
          <cell r="A1811" t="str">
            <v>METRIC POS-E</v>
          </cell>
        </row>
        <row r="1812">
          <cell r="A1812" t="str">
            <v>METRIC POS-EN</v>
          </cell>
        </row>
        <row r="1813">
          <cell r="A1813" t="str">
            <v>METRIC PRS W/LUG</v>
          </cell>
        </row>
        <row r="1814">
          <cell r="A1814" t="str">
            <v>METRIC S-CBR UD</v>
          </cell>
        </row>
        <row r="1815">
          <cell r="A1815" t="str">
            <v>METRIC X-100</v>
          </cell>
        </row>
        <row r="1816">
          <cell r="A1816" t="str">
            <v>METRIC X-100 UD</v>
          </cell>
        </row>
        <row r="1817">
          <cell r="A1817" t="str">
            <v>METRIC X-100-E</v>
          </cell>
        </row>
        <row r="1818">
          <cell r="A1818" t="str">
            <v>METRIC X-101</v>
          </cell>
        </row>
        <row r="1819">
          <cell r="A1819" t="str">
            <v>METRIC X-101 UD</v>
          </cell>
        </row>
        <row r="1820">
          <cell r="A1820" t="str">
            <v>METRIC X-101-E</v>
          </cell>
        </row>
        <row r="1821">
          <cell r="A1821" t="str">
            <v>METRIC X-200</v>
          </cell>
        </row>
        <row r="1822">
          <cell r="A1822" t="str">
            <v>METRIC X-200 UD</v>
          </cell>
        </row>
        <row r="1823">
          <cell r="A1823" t="str">
            <v>METRIC X-200-E</v>
          </cell>
        </row>
        <row r="1824">
          <cell r="A1824" t="str">
            <v>METRIC X-200-E UD</v>
          </cell>
        </row>
        <row r="1825">
          <cell r="A1825" t="str">
            <v>METRIC X-201</v>
          </cell>
        </row>
        <row r="1826">
          <cell r="A1826" t="str">
            <v>METRIC X-201-E</v>
          </cell>
        </row>
        <row r="1827">
          <cell r="A1827" t="str">
            <v>MFRO</v>
          </cell>
        </row>
        <row r="1828">
          <cell r="A1828" t="str">
            <v>MIXERPAC</v>
          </cell>
        </row>
        <row r="1829">
          <cell r="A1829" t="str">
            <v>MIXERPAC 2483</v>
          </cell>
        </row>
        <row r="1830">
          <cell r="A1830" t="str">
            <v>MIXERPAC 2542</v>
          </cell>
        </row>
        <row r="1831">
          <cell r="A1831" t="str">
            <v>MIXERPAC 2552</v>
          </cell>
        </row>
        <row r="1832">
          <cell r="A1832" t="str">
            <v>MIXERPAC 2554</v>
          </cell>
        </row>
        <row r="1833">
          <cell r="A1833" t="str">
            <v>MIXERPAC 2560</v>
          </cell>
        </row>
        <row r="1834">
          <cell r="A1834" t="str">
            <v>MIXERPAC 2564</v>
          </cell>
        </row>
        <row r="1835">
          <cell r="A1835" t="str">
            <v>MIXERPAC 495</v>
          </cell>
        </row>
        <row r="1836">
          <cell r="A1836" t="str">
            <v>MIXERPAC 550</v>
          </cell>
        </row>
        <row r="1837">
          <cell r="A1837" t="str">
            <v>MIXERPAC 550-</v>
          </cell>
        </row>
        <row r="1838">
          <cell r="A1838" t="str">
            <v>MIXERPAC 556</v>
          </cell>
        </row>
        <row r="1839">
          <cell r="A1839" t="str">
            <v>MIXERPAC 581</v>
          </cell>
        </row>
        <row r="1840">
          <cell r="A1840" t="str">
            <v>MIXERPAC 582</v>
          </cell>
        </row>
        <row r="1841">
          <cell r="A1841" t="str">
            <v>MIXERPAC 587</v>
          </cell>
        </row>
        <row r="1842">
          <cell r="A1842" t="str">
            <v>MIXERPAC 588</v>
          </cell>
        </row>
        <row r="1843">
          <cell r="A1843" t="str">
            <v>MIXERPAC 589</v>
          </cell>
        </row>
        <row r="1844">
          <cell r="A1844" t="str">
            <v>ML</v>
          </cell>
        </row>
        <row r="1845">
          <cell r="A1845" t="str">
            <v>ML-200</v>
          </cell>
        </row>
        <row r="1846">
          <cell r="A1846" t="str">
            <v>MOD HPT</v>
          </cell>
        </row>
        <row r="1847">
          <cell r="A1847" t="str">
            <v>MOD HPT-E</v>
          </cell>
        </row>
        <row r="1848">
          <cell r="A1848" t="str">
            <v>MOD HPTO</v>
          </cell>
        </row>
        <row r="1849">
          <cell r="A1849" t="str">
            <v>MOD HPTO-E</v>
          </cell>
        </row>
        <row r="1850">
          <cell r="A1850" t="str">
            <v>MONITO</v>
          </cell>
        </row>
        <row r="1851">
          <cell r="A1851" t="str">
            <v>MPO</v>
          </cell>
        </row>
        <row r="1852">
          <cell r="A1852" t="str">
            <v>MPT</v>
          </cell>
        </row>
        <row r="1853">
          <cell r="A1853" t="str">
            <v>MRA</v>
          </cell>
        </row>
        <row r="1854">
          <cell r="A1854" t="str">
            <v>MRO</v>
          </cell>
        </row>
        <row r="1855">
          <cell r="A1855" t="str">
            <v>MRT</v>
          </cell>
        </row>
        <row r="1856">
          <cell r="A1856" t="str">
            <v>MSS</v>
          </cell>
        </row>
        <row r="1857">
          <cell r="A1857" t="str">
            <v>MULTIPAC 2610</v>
          </cell>
        </row>
        <row r="1858">
          <cell r="A1858" t="str">
            <v>Multipac 2613</v>
          </cell>
        </row>
        <row r="1859">
          <cell r="A1859" t="str">
            <v>Multipac 2623</v>
          </cell>
        </row>
        <row r="1860">
          <cell r="A1860" t="str">
            <v>MULTIPAC 2663</v>
          </cell>
        </row>
        <row r="1861">
          <cell r="A1861" t="str">
            <v>MW</v>
          </cell>
        </row>
        <row r="1862">
          <cell r="A1862" t="str">
            <v>MW-200</v>
          </cell>
        </row>
        <row r="1863">
          <cell r="A1863" t="str">
            <v>MW-200RW</v>
          </cell>
        </row>
        <row r="1864">
          <cell r="A1864" t="str">
            <v>MX-100</v>
          </cell>
        </row>
        <row r="1865">
          <cell r="A1865" t="str">
            <v>MX-200</v>
          </cell>
        </row>
        <row r="1866">
          <cell r="A1866" t="str">
            <v>MX-201</v>
          </cell>
        </row>
        <row r="1867">
          <cell r="A1867" t="str">
            <v>MX-210</v>
          </cell>
        </row>
        <row r="1868">
          <cell r="A1868" t="str">
            <v>MXS</v>
          </cell>
        </row>
        <row r="1869">
          <cell r="A1869" t="str">
            <v>N</v>
          </cell>
        </row>
        <row r="1870">
          <cell r="A1870" t="str">
            <v>N2002</v>
          </cell>
        </row>
        <row r="1871">
          <cell r="A1871" t="str">
            <v>N2010</v>
          </cell>
        </row>
        <row r="1872">
          <cell r="A1872" t="str">
            <v>N2031</v>
          </cell>
        </row>
        <row r="1873">
          <cell r="A1873" t="str">
            <v>N2039</v>
          </cell>
        </row>
        <row r="1874">
          <cell r="A1874" t="str">
            <v>N2060</v>
          </cell>
        </row>
        <row r="1875">
          <cell r="A1875" t="str">
            <v>NA</v>
          </cell>
        </row>
        <row r="1876">
          <cell r="A1876" t="str">
            <v>N-CBR</v>
          </cell>
        </row>
        <row r="1877">
          <cell r="A1877" t="str">
            <v>No Seal Type</v>
          </cell>
        </row>
        <row r="1878">
          <cell r="A1878" t="str">
            <v>NX</v>
          </cell>
        </row>
        <row r="1879">
          <cell r="A1879" t="str">
            <v>NXW</v>
          </cell>
        </row>
        <row r="1880">
          <cell r="A1880" t="str">
            <v>NY</v>
          </cell>
        </row>
        <row r="1881">
          <cell r="A1881" t="str">
            <v>O</v>
          </cell>
        </row>
        <row r="1882">
          <cell r="A1882" t="str">
            <v>OBS</v>
          </cell>
        </row>
        <row r="1883">
          <cell r="A1883" t="str">
            <v>OW</v>
          </cell>
        </row>
        <row r="1884">
          <cell r="A1884" t="str">
            <v>P</v>
          </cell>
        </row>
        <row r="1885">
          <cell r="A1885" t="str">
            <v>P-100</v>
          </cell>
        </row>
        <row r="1886">
          <cell r="A1886" t="str">
            <v>P-200</v>
          </cell>
        </row>
        <row r="1887">
          <cell r="A1887" t="str">
            <v>P200B2</v>
          </cell>
        </row>
        <row r="1888">
          <cell r="A1888" t="str">
            <v>P-201</v>
          </cell>
        </row>
        <row r="1889">
          <cell r="A1889" t="str">
            <v>P-30</v>
          </cell>
        </row>
        <row r="1890">
          <cell r="A1890" t="str">
            <v>P-50</v>
          </cell>
        </row>
        <row r="1891">
          <cell r="A1891" t="str">
            <v>P-50 OVERSIZE</v>
          </cell>
        </row>
        <row r="1892">
          <cell r="A1892" t="str">
            <v>P-50(QCS)</v>
          </cell>
        </row>
        <row r="1893">
          <cell r="A1893" t="str">
            <v>P-50-E</v>
          </cell>
        </row>
        <row r="1894">
          <cell r="A1894" t="str">
            <v>PA</v>
          </cell>
        </row>
        <row r="1895">
          <cell r="A1895" t="str">
            <v>PA-100</v>
          </cell>
        </row>
        <row r="1896">
          <cell r="A1896" t="str">
            <v>PA-100-E</v>
          </cell>
        </row>
        <row r="1897">
          <cell r="A1897" t="str">
            <v>PA-100L</v>
          </cell>
        </row>
        <row r="1898">
          <cell r="A1898" t="str">
            <v>PA-200</v>
          </cell>
        </row>
        <row r="1899">
          <cell r="A1899" t="str">
            <v>PA-200-E</v>
          </cell>
        </row>
        <row r="1900">
          <cell r="A1900" t="str">
            <v>PA-200L</v>
          </cell>
        </row>
        <row r="1901">
          <cell r="A1901" t="str">
            <v>PA-300</v>
          </cell>
        </row>
        <row r="1902">
          <cell r="A1902" t="str">
            <v>PA-300L</v>
          </cell>
        </row>
        <row r="1903">
          <cell r="A1903" t="str">
            <v>PAC</v>
          </cell>
        </row>
        <row r="1904">
          <cell r="A1904" t="str">
            <v>Pac-100</v>
          </cell>
        </row>
        <row r="1905">
          <cell r="A1905" t="str">
            <v>Pac-110</v>
          </cell>
        </row>
        <row r="1906">
          <cell r="A1906" t="str">
            <v>Pac-118</v>
          </cell>
        </row>
        <row r="1907">
          <cell r="A1907" t="str">
            <v>Pac-140</v>
          </cell>
        </row>
        <row r="1908">
          <cell r="A1908" t="str">
            <v>Pac-142</v>
          </cell>
        </row>
        <row r="1909">
          <cell r="A1909" t="str">
            <v>Pac-143</v>
          </cell>
        </row>
        <row r="1910">
          <cell r="A1910" t="str">
            <v>Pac-150</v>
          </cell>
        </row>
        <row r="1911">
          <cell r="A1911" t="str">
            <v>Pac-151</v>
          </cell>
        </row>
        <row r="1912">
          <cell r="A1912" t="str">
            <v>Pac-152</v>
          </cell>
        </row>
        <row r="1913">
          <cell r="A1913" t="str">
            <v>Pac-160</v>
          </cell>
        </row>
        <row r="1914">
          <cell r="A1914" t="str">
            <v>Pac-170</v>
          </cell>
        </row>
        <row r="1915">
          <cell r="A1915" t="str">
            <v>Pac-190</v>
          </cell>
        </row>
        <row r="1916">
          <cell r="A1916" t="str">
            <v>Pac-192</v>
          </cell>
        </row>
        <row r="1917">
          <cell r="A1917" t="str">
            <v>Pac-193</v>
          </cell>
        </row>
        <row r="1918">
          <cell r="A1918" t="str">
            <v>Pac-200</v>
          </cell>
        </row>
        <row r="1919">
          <cell r="A1919" t="str">
            <v>PAC21</v>
          </cell>
        </row>
        <row r="1920">
          <cell r="A1920" t="str">
            <v>Pac-220</v>
          </cell>
        </row>
        <row r="1921">
          <cell r="A1921" t="str">
            <v>Pac-240</v>
          </cell>
        </row>
        <row r="1922">
          <cell r="A1922" t="str">
            <v>Pac-38</v>
          </cell>
        </row>
        <row r="1923">
          <cell r="A1923" t="str">
            <v>Pac-38D</v>
          </cell>
        </row>
        <row r="1924">
          <cell r="A1924" t="str">
            <v>Pac-39</v>
          </cell>
        </row>
        <row r="1925">
          <cell r="A1925" t="str">
            <v>Pac-42</v>
          </cell>
        </row>
        <row r="1926">
          <cell r="A1926" t="str">
            <v>Pac-42D</v>
          </cell>
        </row>
        <row r="1927">
          <cell r="A1927" t="str">
            <v>Pac-43</v>
          </cell>
        </row>
        <row r="1928">
          <cell r="A1928" t="str">
            <v>Pac-43D</v>
          </cell>
        </row>
        <row r="1929">
          <cell r="A1929" t="str">
            <v>PB</v>
          </cell>
        </row>
        <row r="1930">
          <cell r="A1930" t="str">
            <v>PB-100</v>
          </cell>
        </row>
        <row r="1931">
          <cell r="A1931" t="str">
            <v>PB-100L</v>
          </cell>
        </row>
        <row r="1932">
          <cell r="A1932" t="str">
            <v>PB-200</v>
          </cell>
        </row>
        <row r="1933">
          <cell r="A1933" t="str">
            <v>PB-200-E</v>
          </cell>
        </row>
        <row r="1934">
          <cell r="A1934" t="str">
            <v>PB-200L</v>
          </cell>
        </row>
        <row r="1935">
          <cell r="A1935" t="str">
            <v>PB-300</v>
          </cell>
        </row>
        <row r="1936">
          <cell r="A1936" t="str">
            <v>PB-300L</v>
          </cell>
        </row>
        <row r="1937">
          <cell r="A1937" t="str">
            <v>PB-D</v>
          </cell>
        </row>
        <row r="1938">
          <cell r="A1938" t="str">
            <v>PB-O</v>
          </cell>
        </row>
        <row r="1939">
          <cell r="A1939" t="str">
            <v>PBR</v>
          </cell>
        </row>
        <row r="1940">
          <cell r="A1940" t="str">
            <v>PBR W/LUG DRIVE</v>
          </cell>
        </row>
        <row r="1941">
          <cell r="A1941" t="str">
            <v>PBR-E</v>
          </cell>
        </row>
        <row r="1942">
          <cell r="A1942" t="str">
            <v>PBS</v>
          </cell>
        </row>
        <row r="1943">
          <cell r="A1943" t="str">
            <v>PBS W/LUG DRIVE</v>
          </cell>
        </row>
        <row r="1944">
          <cell r="A1944" t="str">
            <v>PBS-E</v>
          </cell>
        </row>
        <row r="1945">
          <cell r="A1945" t="str">
            <v>PB-T</v>
          </cell>
        </row>
        <row r="1946">
          <cell r="A1946" t="str">
            <v>PC-100</v>
          </cell>
        </row>
        <row r="1947">
          <cell r="A1947" t="str">
            <v>PC-100-ES</v>
          </cell>
        </row>
        <row r="1948">
          <cell r="A1948" t="str">
            <v>PC-200</v>
          </cell>
        </row>
        <row r="1949">
          <cell r="A1949" t="str">
            <v>PC-200-ES</v>
          </cell>
        </row>
        <row r="1950">
          <cell r="A1950" t="str">
            <v>PC-300-ES</v>
          </cell>
        </row>
        <row r="1951">
          <cell r="A1951" t="str">
            <v>PE</v>
          </cell>
        </row>
        <row r="1952">
          <cell r="A1952" t="str">
            <v>PHU</v>
          </cell>
        </row>
        <row r="1953">
          <cell r="A1953" t="str">
            <v>PL-100</v>
          </cell>
        </row>
        <row r="1954">
          <cell r="A1954" t="str">
            <v>PL-100/200</v>
          </cell>
        </row>
        <row r="1955">
          <cell r="A1955" t="str">
            <v>PL-200</v>
          </cell>
        </row>
        <row r="1956">
          <cell r="A1956" t="str">
            <v>PO-D</v>
          </cell>
        </row>
        <row r="1957">
          <cell r="A1957" t="str">
            <v>PO-DHT</v>
          </cell>
        </row>
        <row r="1958">
          <cell r="A1958" t="str">
            <v>POS</v>
          </cell>
        </row>
        <row r="1959">
          <cell r="A1959" t="str">
            <v>POS-E</v>
          </cell>
        </row>
        <row r="1960">
          <cell r="A1960" t="str">
            <v>POS-EN</v>
          </cell>
        </row>
        <row r="1961">
          <cell r="A1961" t="str">
            <v>PROCESS LABY</v>
          </cell>
        </row>
        <row r="1962">
          <cell r="A1962" t="str">
            <v>PS</v>
          </cell>
        </row>
        <row r="1963">
          <cell r="A1963" t="str">
            <v>PS2</v>
          </cell>
        </row>
        <row r="1964">
          <cell r="A1964" t="str">
            <v>PSS</v>
          </cell>
        </row>
        <row r="1965">
          <cell r="A1965" t="str">
            <v>PSS II</v>
          </cell>
        </row>
        <row r="1966">
          <cell r="A1966" t="str">
            <v>PSS II - SPECIAL</v>
          </cell>
        </row>
        <row r="1967">
          <cell r="A1967" t="str">
            <v>PSS III</v>
          </cell>
        </row>
        <row r="1968">
          <cell r="A1968" t="str">
            <v>PSS III - SPECIAL</v>
          </cell>
        </row>
        <row r="1969">
          <cell r="A1969" t="str">
            <v>PSS IIIC</v>
          </cell>
        </row>
        <row r="1970">
          <cell r="A1970" t="str">
            <v>PSS-A</v>
          </cell>
        </row>
        <row r="1971">
          <cell r="A1971" t="str">
            <v>PT</v>
          </cell>
        </row>
        <row r="1972">
          <cell r="A1972" t="str">
            <v>PT'DIN'</v>
          </cell>
        </row>
        <row r="1973">
          <cell r="A1973" t="str">
            <v>PT-E</v>
          </cell>
        </row>
        <row r="1974">
          <cell r="A1974" t="str">
            <v>PT-E2</v>
          </cell>
        </row>
        <row r="1975">
          <cell r="A1975" t="str">
            <v>PT-E3</v>
          </cell>
        </row>
        <row r="1976">
          <cell r="A1976" t="str">
            <v>PT-E'ISO'</v>
          </cell>
        </row>
        <row r="1977">
          <cell r="A1977" t="str">
            <v>PT-EN</v>
          </cell>
        </row>
        <row r="1978">
          <cell r="A1978" t="str">
            <v>PT-EN DIN</v>
          </cell>
        </row>
        <row r="1979">
          <cell r="A1979" t="str">
            <v>PT-HW</v>
          </cell>
        </row>
        <row r="1980">
          <cell r="A1980" t="str">
            <v>PT'ISO'</v>
          </cell>
        </row>
        <row r="1981">
          <cell r="A1981" t="str">
            <v>PTO</v>
          </cell>
        </row>
        <row r="1982">
          <cell r="A1982" t="str">
            <v>PTO/SB</v>
          </cell>
        </row>
        <row r="1983">
          <cell r="A1983" t="str">
            <v>PTO'DIN'</v>
          </cell>
        </row>
        <row r="1984">
          <cell r="A1984" t="str">
            <v>PTOE</v>
          </cell>
        </row>
        <row r="1985">
          <cell r="A1985" t="str">
            <v>PTO-E</v>
          </cell>
        </row>
        <row r="1986">
          <cell r="A1986" t="str">
            <v>PTO-E2</v>
          </cell>
        </row>
        <row r="1987">
          <cell r="A1987" t="str">
            <v>PTO-E3</v>
          </cell>
        </row>
        <row r="1988">
          <cell r="A1988" t="str">
            <v>PTO-E'ISO'</v>
          </cell>
        </row>
        <row r="1989">
          <cell r="A1989" t="str">
            <v>PTO-EN</v>
          </cell>
        </row>
        <row r="1990">
          <cell r="A1990" t="str">
            <v>PTO-EN `ISO`</v>
          </cell>
        </row>
        <row r="1991">
          <cell r="A1991" t="str">
            <v>PTO-EN DIN</v>
          </cell>
        </row>
        <row r="1992">
          <cell r="A1992" t="str">
            <v>PTO-HW</v>
          </cell>
        </row>
        <row r="1993">
          <cell r="A1993" t="str">
            <v>PTO-HW 'DIN'</v>
          </cell>
        </row>
        <row r="1994">
          <cell r="A1994" t="str">
            <v>PTO-HW'ISO'</v>
          </cell>
        </row>
        <row r="1995">
          <cell r="A1995" t="str">
            <v>PTO'ISO'</v>
          </cell>
        </row>
        <row r="1996">
          <cell r="A1996" t="str">
            <v>Q</v>
          </cell>
        </row>
        <row r="1997">
          <cell r="A1997" t="str">
            <v>QA</v>
          </cell>
        </row>
        <row r="1998">
          <cell r="A1998" t="str">
            <v>QAW</v>
          </cell>
        </row>
        <row r="1999">
          <cell r="A1999" t="str">
            <v>QB</v>
          </cell>
        </row>
        <row r="2000">
          <cell r="A2000" t="str">
            <v>QB LUBE</v>
          </cell>
        </row>
        <row r="2001">
          <cell r="A2001" t="str">
            <v>QB(Q)</v>
          </cell>
        </row>
        <row r="2002">
          <cell r="A2002" t="str">
            <v>QBA</v>
          </cell>
        </row>
        <row r="2003">
          <cell r="A2003" t="str">
            <v>QBAW</v>
          </cell>
        </row>
        <row r="2004">
          <cell r="A2004" t="str">
            <v>QBB</v>
          </cell>
        </row>
        <row r="2005">
          <cell r="A2005" t="str">
            <v>QBBQ</v>
          </cell>
        </row>
        <row r="2006">
          <cell r="A2006" t="str">
            <v>QBBQW</v>
          </cell>
        </row>
        <row r="2007">
          <cell r="A2007" t="str">
            <v>QBBRW</v>
          </cell>
        </row>
        <row r="2008">
          <cell r="A2008" t="str">
            <v>QBBSW</v>
          </cell>
        </row>
        <row r="2009">
          <cell r="A2009" t="str">
            <v>QBBW</v>
          </cell>
        </row>
        <row r="2010">
          <cell r="A2010" t="str">
            <v>QBCO</v>
          </cell>
        </row>
        <row r="2011">
          <cell r="A2011" t="str">
            <v>QBCOQW</v>
          </cell>
        </row>
        <row r="2012">
          <cell r="A2012" t="str">
            <v>QBCOW</v>
          </cell>
        </row>
        <row r="2013">
          <cell r="A2013" t="str">
            <v>QBCQ</v>
          </cell>
        </row>
        <row r="2014">
          <cell r="A2014" t="str">
            <v>QBD</v>
          </cell>
        </row>
        <row r="2015">
          <cell r="A2015" t="str">
            <v>QBDA</v>
          </cell>
        </row>
        <row r="2016">
          <cell r="A2016" t="str">
            <v>QBDQ</v>
          </cell>
        </row>
        <row r="2017">
          <cell r="A2017" t="str">
            <v>QBDQW</v>
          </cell>
        </row>
        <row r="2018">
          <cell r="A2018" t="str">
            <v>QBDW</v>
          </cell>
        </row>
        <row r="2019">
          <cell r="A2019" t="str">
            <v>QBE</v>
          </cell>
        </row>
        <row r="2020">
          <cell r="A2020" t="str">
            <v>QBH</v>
          </cell>
        </row>
        <row r="2021">
          <cell r="A2021" t="str">
            <v>QBI</v>
          </cell>
        </row>
        <row r="2022">
          <cell r="A2022" t="str">
            <v>QBJ</v>
          </cell>
        </row>
        <row r="2023">
          <cell r="A2023" t="str">
            <v>QBJW</v>
          </cell>
        </row>
        <row r="2024">
          <cell r="A2024" t="str">
            <v>QBL</v>
          </cell>
        </row>
        <row r="2025">
          <cell r="A2025" t="str">
            <v>QBLE</v>
          </cell>
        </row>
        <row r="2026">
          <cell r="A2026" t="str">
            <v>QBLK</v>
          </cell>
        </row>
        <row r="2027">
          <cell r="A2027" t="str">
            <v>QBLKW</v>
          </cell>
        </row>
        <row r="2028">
          <cell r="A2028" t="str">
            <v>QBL-LUB</v>
          </cell>
        </row>
        <row r="2029">
          <cell r="A2029" t="str">
            <v>QBLQ</v>
          </cell>
        </row>
        <row r="2030">
          <cell r="A2030" t="str">
            <v>QBLQW</v>
          </cell>
        </row>
        <row r="2031">
          <cell r="A2031" t="str">
            <v>QBLSW</v>
          </cell>
        </row>
        <row r="2032">
          <cell r="A2032" t="str">
            <v>QBLU</v>
          </cell>
        </row>
        <row r="2033">
          <cell r="A2033" t="str">
            <v>QB-LUB</v>
          </cell>
        </row>
        <row r="2034">
          <cell r="A2034" t="str">
            <v>QBLUBEW</v>
          </cell>
        </row>
        <row r="2035">
          <cell r="A2035" t="str">
            <v>QBLW</v>
          </cell>
        </row>
        <row r="2036">
          <cell r="A2036" t="str">
            <v>QBLZ</v>
          </cell>
        </row>
        <row r="2037">
          <cell r="A2037" t="str">
            <v>QBM</v>
          </cell>
        </row>
        <row r="2038">
          <cell r="A2038" t="str">
            <v>QBO</v>
          </cell>
        </row>
        <row r="2039">
          <cell r="A2039" t="str">
            <v>QBOW</v>
          </cell>
        </row>
        <row r="2040">
          <cell r="A2040" t="str">
            <v>QBQ</v>
          </cell>
        </row>
        <row r="2041">
          <cell r="A2041" t="str">
            <v>QBQCO</v>
          </cell>
        </row>
        <row r="2042">
          <cell r="A2042" t="str">
            <v>QBQCOW</v>
          </cell>
        </row>
        <row r="2043">
          <cell r="A2043" t="str">
            <v>QBQCW</v>
          </cell>
        </row>
        <row r="2044">
          <cell r="A2044" t="str">
            <v>QBQDW</v>
          </cell>
        </row>
        <row r="2045">
          <cell r="A2045" t="str">
            <v>QBQLA</v>
          </cell>
        </row>
        <row r="2046">
          <cell r="A2046" t="str">
            <v>QBQLE</v>
          </cell>
        </row>
        <row r="2047">
          <cell r="A2047" t="str">
            <v>QBQLW</v>
          </cell>
        </row>
        <row r="2048">
          <cell r="A2048" t="str">
            <v>QBQLZ</v>
          </cell>
        </row>
        <row r="2049">
          <cell r="A2049" t="str">
            <v>QBQLZW</v>
          </cell>
        </row>
        <row r="2050">
          <cell r="A2050" t="str">
            <v>QBQO</v>
          </cell>
        </row>
        <row r="2051">
          <cell r="A2051" t="str">
            <v>QBQR</v>
          </cell>
        </row>
        <row r="2052">
          <cell r="A2052" t="str">
            <v>QBQRW</v>
          </cell>
        </row>
        <row r="2053">
          <cell r="A2053" t="str">
            <v>QBQS</v>
          </cell>
        </row>
        <row r="2054">
          <cell r="A2054" t="str">
            <v>QBQW</v>
          </cell>
        </row>
        <row r="2055">
          <cell r="A2055" t="str">
            <v>QBR</v>
          </cell>
        </row>
        <row r="2056">
          <cell r="A2056" t="str">
            <v>QBRQLZW</v>
          </cell>
        </row>
        <row r="2057">
          <cell r="A2057" t="str">
            <v>QBRQW</v>
          </cell>
        </row>
        <row r="2058">
          <cell r="A2058" t="str">
            <v>QBRTW</v>
          </cell>
        </row>
        <row r="2059">
          <cell r="A2059" t="str">
            <v>QBRW</v>
          </cell>
        </row>
        <row r="2060">
          <cell r="A2060" t="str">
            <v>QBS</v>
          </cell>
        </row>
        <row r="2061">
          <cell r="A2061" t="str">
            <v>QBSA</v>
          </cell>
        </row>
        <row r="2062">
          <cell r="A2062" t="str">
            <v>QBSAW</v>
          </cell>
        </row>
        <row r="2063">
          <cell r="A2063" t="str">
            <v>QBSCO</v>
          </cell>
        </row>
        <row r="2064">
          <cell r="A2064" t="str">
            <v>QBSCOW</v>
          </cell>
        </row>
        <row r="2065">
          <cell r="A2065" t="str">
            <v>QBSLW</v>
          </cell>
        </row>
        <row r="2066">
          <cell r="A2066" t="str">
            <v>QBSQ</v>
          </cell>
        </row>
        <row r="2067">
          <cell r="A2067" t="str">
            <v>QBSQCO</v>
          </cell>
        </row>
        <row r="2068">
          <cell r="A2068" t="str">
            <v>QBSQW</v>
          </cell>
        </row>
        <row r="2069">
          <cell r="A2069" t="str">
            <v>QBSTQ</v>
          </cell>
        </row>
        <row r="2070">
          <cell r="A2070" t="str">
            <v>QBSW</v>
          </cell>
        </row>
        <row r="2071">
          <cell r="A2071" t="str">
            <v>QBT</v>
          </cell>
        </row>
        <row r="2072">
          <cell r="A2072" t="str">
            <v>QBTA</v>
          </cell>
        </row>
        <row r="2073">
          <cell r="A2073" t="str">
            <v>QBTQ</v>
          </cell>
        </row>
        <row r="2074">
          <cell r="A2074" t="str">
            <v>QBTW</v>
          </cell>
        </row>
        <row r="2075">
          <cell r="A2075" t="str">
            <v>QBU</v>
          </cell>
        </row>
        <row r="2076">
          <cell r="A2076" t="str">
            <v>QBUW</v>
          </cell>
        </row>
        <row r="2077">
          <cell r="A2077" t="str">
            <v>QBW</v>
          </cell>
        </row>
        <row r="2078">
          <cell r="A2078" t="str">
            <v>QBW LUB</v>
          </cell>
        </row>
        <row r="2079">
          <cell r="A2079" t="str">
            <v>QBWR</v>
          </cell>
        </row>
        <row r="2080">
          <cell r="A2080" t="str">
            <v>QC</v>
          </cell>
        </row>
        <row r="2081">
          <cell r="A2081" t="str">
            <v>QCF</v>
          </cell>
        </row>
        <row r="2082">
          <cell r="A2082" t="str">
            <v>QCO</v>
          </cell>
        </row>
        <row r="2083">
          <cell r="A2083" t="str">
            <v>QCOW</v>
          </cell>
        </row>
        <row r="2084">
          <cell r="A2084" t="str">
            <v>QCW</v>
          </cell>
        </row>
        <row r="2085">
          <cell r="A2085" t="str">
            <v>QD</v>
          </cell>
        </row>
        <row r="2086">
          <cell r="A2086" t="str">
            <v>QDA</v>
          </cell>
        </row>
        <row r="2087">
          <cell r="A2087" t="str">
            <v>QDW</v>
          </cell>
        </row>
        <row r="2088">
          <cell r="A2088" t="str">
            <v>QL</v>
          </cell>
        </row>
        <row r="2089">
          <cell r="A2089" t="str">
            <v>QLA</v>
          </cell>
        </row>
        <row r="2090">
          <cell r="A2090" t="str">
            <v>QLAW</v>
          </cell>
        </row>
        <row r="2091">
          <cell r="A2091" t="str">
            <v>QLE</v>
          </cell>
        </row>
        <row r="2092">
          <cell r="A2092" t="str">
            <v>QLEW</v>
          </cell>
        </row>
        <row r="2093">
          <cell r="A2093" t="str">
            <v>QLW</v>
          </cell>
        </row>
        <row r="2094">
          <cell r="A2094" t="str">
            <v>QQ</v>
          </cell>
        </row>
        <row r="2095">
          <cell r="A2095" t="str">
            <v>QQBD</v>
          </cell>
        </row>
        <row r="2096">
          <cell r="A2096" t="str">
            <v>QQW</v>
          </cell>
        </row>
        <row r="2097">
          <cell r="A2097" t="str">
            <v>QRW</v>
          </cell>
        </row>
        <row r="2098">
          <cell r="A2098" t="str">
            <v>QS</v>
          </cell>
        </row>
        <row r="2099">
          <cell r="A2099" t="str">
            <v>QSA</v>
          </cell>
        </row>
        <row r="2100">
          <cell r="A2100" t="str">
            <v>QSAW</v>
          </cell>
        </row>
        <row r="2101">
          <cell r="A2101" t="str">
            <v>QSDA</v>
          </cell>
        </row>
        <row r="2102">
          <cell r="A2102" t="str">
            <v>QSLA</v>
          </cell>
        </row>
        <row r="2103">
          <cell r="A2103" t="str">
            <v>QSRW</v>
          </cell>
        </row>
        <row r="2104">
          <cell r="A2104" t="str">
            <v>QSS</v>
          </cell>
        </row>
        <row r="2105">
          <cell r="A2105" t="str">
            <v>QSW</v>
          </cell>
        </row>
        <row r="2106">
          <cell r="A2106" t="str">
            <v>QT</v>
          </cell>
        </row>
        <row r="2107">
          <cell r="A2107" t="str">
            <v>QTA</v>
          </cell>
        </row>
        <row r="2108">
          <cell r="A2108" t="str">
            <v>QTW</v>
          </cell>
        </row>
        <row r="2109">
          <cell r="A2109" t="str">
            <v>QW</v>
          </cell>
        </row>
        <row r="2110">
          <cell r="A2110" t="str">
            <v>QWD</v>
          </cell>
        </row>
        <row r="2111">
          <cell r="A2111" t="str">
            <v>RA</v>
          </cell>
        </row>
        <row r="2112">
          <cell r="A2112" t="str">
            <v>RA-B</v>
          </cell>
        </row>
        <row r="2113">
          <cell r="A2113" t="str">
            <v>RA-B`DIN`</v>
          </cell>
        </row>
        <row r="2114">
          <cell r="A2114" t="str">
            <v>RA-C</v>
          </cell>
        </row>
        <row r="2115">
          <cell r="A2115" t="str">
            <v>RA-C'ISO'</v>
          </cell>
        </row>
        <row r="2116">
          <cell r="A2116" t="str">
            <v>RA-CV</v>
          </cell>
        </row>
        <row r="2117">
          <cell r="A2117" t="str">
            <v>Radial</v>
          </cell>
        </row>
        <row r="2118">
          <cell r="A2118" t="str">
            <v>RA'ISO'</v>
          </cell>
        </row>
        <row r="2119">
          <cell r="A2119" t="str">
            <v>RA-ISO</v>
          </cell>
        </row>
        <row r="2120">
          <cell r="A2120" t="str">
            <v>RA-MT</v>
          </cell>
        </row>
        <row r="2121">
          <cell r="A2121" t="str">
            <v>RA-S</v>
          </cell>
        </row>
        <row r="2122">
          <cell r="A2122" t="str">
            <v>RA-TT</v>
          </cell>
        </row>
        <row r="2123">
          <cell r="A2123" t="str">
            <v>RA-V</v>
          </cell>
        </row>
        <row r="2124">
          <cell r="A2124" t="str">
            <v>RBW</v>
          </cell>
        </row>
        <row r="2125">
          <cell r="A2125" t="str">
            <v>RES</v>
          </cell>
        </row>
        <row r="2126">
          <cell r="A2126" t="str">
            <v>RHU</v>
          </cell>
        </row>
        <row r="2127">
          <cell r="A2127" t="str">
            <v>RIS</v>
          </cell>
        </row>
        <row r="2128">
          <cell r="A2128" t="str">
            <v>RISW</v>
          </cell>
        </row>
        <row r="2129">
          <cell r="A2129" t="str">
            <v>RO</v>
          </cell>
        </row>
        <row r="2130">
          <cell r="A2130" t="str">
            <v>RO-D</v>
          </cell>
        </row>
        <row r="2131">
          <cell r="A2131" t="str">
            <v>RO-D'DIN'</v>
          </cell>
        </row>
        <row r="2132">
          <cell r="A2132" t="str">
            <v>RO-DHT</v>
          </cell>
        </row>
        <row r="2133">
          <cell r="A2133" t="str">
            <v>RO'DIN'</v>
          </cell>
        </row>
        <row r="2134">
          <cell r="A2134" t="str">
            <v>RO'ISO'</v>
          </cell>
        </row>
        <row r="2135">
          <cell r="A2135" t="str">
            <v>RO-ISO</v>
          </cell>
        </row>
        <row r="2136">
          <cell r="A2136" t="str">
            <v>ROLLPAC</v>
          </cell>
        </row>
        <row r="2137">
          <cell r="A2137" t="str">
            <v>RO-PTO</v>
          </cell>
        </row>
        <row r="2138">
          <cell r="A2138" t="str">
            <v>ROTOR</v>
          </cell>
        </row>
        <row r="2139">
          <cell r="A2139" t="str">
            <v>RO-TT</v>
          </cell>
        </row>
        <row r="2140">
          <cell r="A2140" t="str">
            <v>RO-TT'DIN'</v>
          </cell>
        </row>
        <row r="2141">
          <cell r="A2141" t="str">
            <v>RO-TT'ISO'</v>
          </cell>
        </row>
        <row r="2142">
          <cell r="A2142" t="str">
            <v>RT</v>
          </cell>
        </row>
        <row r="2143">
          <cell r="A2143" t="str">
            <v>RT-O</v>
          </cell>
        </row>
        <row r="2144">
          <cell r="A2144" t="str">
            <v>RU</v>
          </cell>
        </row>
        <row r="2145">
          <cell r="A2145" t="str">
            <v>RU-O</v>
          </cell>
        </row>
        <row r="2146">
          <cell r="A2146" t="str">
            <v>RW</v>
          </cell>
        </row>
        <row r="2147">
          <cell r="A2147" t="str">
            <v>RX-0</v>
          </cell>
        </row>
        <row r="2148">
          <cell r="A2148" t="str">
            <v>RX-O</v>
          </cell>
        </row>
        <row r="2149">
          <cell r="A2149" t="str">
            <v>RX-O'ISO'</v>
          </cell>
        </row>
        <row r="2150">
          <cell r="A2150" t="str">
            <v>RX-OL</v>
          </cell>
        </row>
        <row r="2151">
          <cell r="A2151" t="str">
            <v>RX-OL'ISO'</v>
          </cell>
        </row>
        <row r="2152">
          <cell r="A2152" t="str">
            <v>RX-T</v>
          </cell>
        </row>
        <row r="2153">
          <cell r="A2153" t="str">
            <v>RX-T'ISO'</v>
          </cell>
        </row>
        <row r="2154">
          <cell r="A2154" t="str">
            <v>RX-TL</v>
          </cell>
        </row>
        <row r="2155">
          <cell r="A2155" t="str">
            <v>RX-TL'ISO'</v>
          </cell>
        </row>
        <row r="2156">
          <cell r="A2156" t="str">
            <v>S</v>
          </cell>
        </row>
        <row r="2157">
          <cell r="A2157" t="str">
            <v>S001</v>
          </cell>
        </row>
        <row r="2158">
          <cell r="A2158" t="str">
            <v>SB-200</v>
          </cell>
        </row>
        <row r="2159">
          <cell r="A2159" t="str">
            <v>SB-2000</v>
          </cell>
        </row>
        <row r="2160">
          <cell r="A2160" t="str">
            <v>S-BPO</v>
          </cell>
        </row>
        <row r="2161">
          <cell r="A2161" t="str">
            <v>S-BPT</v>
          </cell>
        </row>
        <row r="2162">
          <cell r="A2162" t="str">
            <v>SBR</v>
          </cell>
        </row>
        <row r="2163">
          <cell r="A2163" t="str">
            <v>SBR-E</v>
          </cell>
        </row>
        <row r="2164">
          <cell r="A2164" t="str">
            <v>S-BRO</v>
          </cell>
        </row>
        <row r="2165">
          <cell r="A2165" t="str">
            <v>S-BRT</v>
          </cell>
        </row>
        <row r="2166">
          <cell r="A2166" t="str">
            <v>S-CBR</v>
          </cell>
        </row>
        <row r="2167">
          <cell r="A2167" t="str">
            <v>SDA</v>
          </cell>
        </row>
        <row r="2168">
          <cell r="A2168" t="str">
            <v>SEB</v>
          </cell>
        </row>
        <row r="2169">
          <cell r="A2169" t="str">
            <v>SEG BU</v>
          </cell>
        </row>
        <row r="2170">
          <cell r="A2170" t="str">
            <v>SEGMENTED SEAL</v>
          </cell>
        </row>
        <row r="2171">
          <cell r="A2171" t="str">
            <v>SF-5200</v>
          </cell>
        </row>
        <row r="2172">
          <cell r="A2172" t="str">
            <v>SFHW</v>
          </cell>
        </row>
        <row r="2173">
          <cell r="A2173" t="str">
            <v>SHW</v>
          </cell>
        </row>
        <row r="2174">
          <cell r="A2174" t="str">
            <v>SIMPAC 390 L</v>
          </cell>
        </row>
        <row r="2175">
          <cell r="A2175" t="str">
            <v>SIMPAC 390 R</v>
          </cell>
        </row>
        <row r="2176">
          <cell r="A2176" t="str">
            <v>SL</v>
          </cell>
        </row>
        <row r="2177">
          <cell r="A2177" t="str">
            <v>SL-2000</v>
          </cell>
        </row>
        <row r="2178">
          <cell r="A2178" t="str">
            <v>SL-500</v>
          </cell>
        </row>
        <row r="2179">
          <cell r="A2179" t="str">
            <v>SL-5000</v>
          </cell>
        </row>
        <row r="2180">
          <cell r="A2180" t="str">
            <v>SL-5000(QCS)</v>
          </cell>
        </row>
        <row r="2181">
          <cell r="A2181" t="str">
            <v>SL-5000(SLD)</v>
          </cell>
        </row>
        <row r="2182">
          <cell r="A2182" t="str">
            <v>SL-5000-A</v>
          </cell>
        </row>
        <row r="2183">
          <cell r="A2183" t="str">
            <v>SL-5000-S</v>
          </cell>
        </row>
        <row r="2184">
          <cell r="A2184" t="str">
            <v>SL-5200</v>
          </cell>
        </row>
        <row r="2185">
          <cell r="A2185" t="str">
            <v>SL-5200-A</v>
          </cell>
        </row>
        <row r="2186">
          <cell r="A2186" t="str">
            <v>SLC</v>
          </cell>
        </row>
        <row r="2187">
          <cell r="A2187" t="str">
            <v>SLM</v>
          </cell>
        </row>
        <row r="2188">
          <cell r="A2188" t="str">
            <v>SLM(X)</v>
          </cell>
        </row>
        <row r="2189">
          <cell r="A2189" t="str">
            <v>SLM-60</v>
          </cell>
        </row>
        <row r="2190">
          <cell r="A2190" t="str">
            <v>SLM600</v>
          </cell>
        </row>
        <row r="2191">
          <cell r="A2191" t="str">
            <v>SLM-6000</v>
          </cell>
        </row>
        <row r="2192">
          <cell r="A2192" t="str">
            <v>SLM-6000(QCD)</v>
          </cell>
        </row>
        <row r="2193">
          <cell r="A2193" t="str">
            <v>SLM-6000(SLD)</v>
          </cell>
        </row>
        <row r="2194">
          <cell r="A2194" t="str">
            <v>SLM-6000W</v>
          </cell>
        </row>
        <row r="2195">
          <cell r="A2195" t="str">
            <v>SLM-6000W(QCD)</v>
          </cell>
        </row>
        <row r="2196">
          <cell r="A2196" t="str">
            <v>SLM-6100</v>
          </cell>
        </row>
        <row r="2197">
          <cell r="A2197" t="str">
            <v>SLM-62</v>
          </cell>
        </row>
        <row r="2198">
          <cell r="A2198" t="str">
            <v>SLM-6200</v>
          </cell>
        </row>
        <row r="2199">
          <cell r="A2199" t="str">
            <v>SLM-6200W</v>
          </cell>
        </row>
        <row r="2200">
          <cell r="A2200" t="str">
            <v>SLV</v>
          </cell>
        </row>
        <row r="2201">
          <cell r="A2201" t="str">
            <v>SLX</v>
          </cell>
        </row>
        <row r="2202">
          <cell r="A2202" t="str">
            <v>SPEC POS</v>
          </cell>
        </row>
        <row r="2203">
          <cell r="A2203" t="str">
            <v>SPEC POS-EN</v>
          </cell>
        </row>
        <row r="2204">
          <cell r="A2204" t="str">
            <v>SPECIAL DAIRY SEAL</v>
          </cell>
        </row>
        <row r="2205">
          <cell r="A2205" t="str">
            <v>SPECIAL DURA SEAL</v>
          </cell>
        </row>
        <row r="2206">
          <cell r="A2206" t="str">
            <v>SPECIAL METRIC DURA SEAL</v>
          </cell>
        </row>
        <row r="2207">
          <cell r="A2207" t="str">
            <v>SPECIAL PACKING</v>
          </cell>
        </row>
        <row r="2208">
          <cell r="A2208" t="str">
            <v>SPECIAL SEALS</v>
          </cell>
        </row>
        <row r="2209">
          <cell r="A2209" t="str">
            <v>SPECIAL SET SCREW</v>
          </cell>
        </row>
        <row r="2210">
          <cell r="A2210" t="str">
            <v>SPL</v>
          </cell>
        </row>
        <row r="2211">
          <cell r="A2211" t="str">
            <v>SPLIT</v>
          </cell>
        </row>
        <row r="2212">
          <cell r="A2212" t="str">
            <v>SPLIT BG</v>
          </cell>
        </row>
        <row r="2213">
          <cell r="A2213" t="str">
            <v>SPLIT BUSH SEAL ASSY</v>
          </cell>
        </row>
        <row r="2214">
          <cell r="A2214" t="str">
            <v>SPLIT BUSHING</v>
          </cell>
        </row>
        <row r="2215">
          <cell r="A2215" t="str">
            <v>SPLIT O-RING</v>
          </cell>
        </row>
        <row r="2216">
          <cell r="A2216" t="str">
            <v>SPN</v>
          </cell>
        </row>
        <row r="2217">
          <cell r="A2217" t="str">
            <v>SPN 0</v>
          </cell>
        </row>
        <row r="2218">
          <cell r="A2218" t="str">
            <v>SPN 13</v>
          </cell>
        </row>
        <row r="2219">
          <cell r="A2219" t="str">
            <v>SPN 15</v>
          </cell>
        </row>
        <row r="2220">
          <cell r="A2220" t="str">
            <v>SPN 16</v>
          </cell>
        </row>
        <row r="2221">
          <cell r="A2221" t="str">
            <v>SPN 17</v>
          </cell>
        </row>
        <row r="2222">
          <cell r="A2222" t="str">
            <v>SPN O</v>
          </cell>
        </row>
        <row r="2223">
          <cell r="A2223" t="str">
            <v>SPN2</v>
          </cell>
        </row>
        <row r="2224">
          <cell r="A2224" t="str">
            <v>SPN7</v>
          </cell>
        </row>
        <row r="2225">
          <cell r="A2225" t="str">
            <v>SPO-D'DIN'</v>
          </cell>
        </row>
        <row r="2226">
          <cell r="A2226" t="str">
            <v>Sprout</v>
          </cell>
        </row>
        <row r="2227">
          <cell r="A2227" t="str">
            <v>SPS</v>
          </cell>
        </row>
        <row r="2228">
          <cell r="A2228" t="str">
            <v>SPT</v>
          </cell>
        </row>
        <row r="2229">
          <cell r="A2229" t="str">
            <v>SPT0-HW'ISO'</v>
          </cell>
        </row>
        <row r="2230">
          <cell r="A2230" t="str">
            <v>SPT'DIN'</v>
          </cell>
        </row>
        <row r="2231">
          <cell r="A2231" t="str">
            <v>SPT-E</v>
          </cell>
        </row>
        <row r="2232">
          <cell r="A2232" t="str">
            <v>SPT-E 'DIN'</v>
          </cell>
        </row>
        <row r="2233">
          <cell r="A2233" t="str">
            <v>SPT-E'ISO'</v>
          </cell>
        </row>
        <row r="2234">
          <cell r="A2234" t="str">
            <v>SPT'ISO'</v>
          </cell>
        </row>
        <row r="2235">
          <cell r="A2235" t="str">
            <v>SPTO</v>
          </cell>
        </row>
        <row r="2236">
          <cell r="A2236" t="str">
            <v>SPTO'DIN'</v>
          </cell>
        </row>
        <row r="2237">
          <cell r="A2237" t="str">
            <v>SPTO-E</v>
          </cell>
        </row>
        <row r="2238">
          <cell r="A2238" t="str">
            <v>SPTO-E 'DIN'</v>
          </cell>
        </row>
        <row r="2239">
          <cell r="A2239" t="str">
            <v>SPTO-EN`ISO`</v>
          </cell>
        </row>
        <row r="2240">
          <cell r="A2240" t="str">
            <v>SPTO-EN'DIN'</v>
          </cell>
        </row>
        <row r="2241">
          <cell r="A2241" t="str">
            <v>SPTO-HW</v>
          </cell>
        </row>
        <row r="2242">
          <cell r="A2242" t="str">
            <v>SPTO-HW'DIN'</v>
          </cell>
        </row>
        <row r="2243">
          <cell r="A2243" t="str">
            <v>SPTO'ISO'</v>
          </cell>
        </row>
        <row r="2244">
          <cell r="A2244" t="str">
            <v>SRD</v>
          </cell>
        </row>
        <row r="2245">
          <cell r="A2245" t="str">
            <v>SRO</v>
          </cell>
        </row>
        <row r="2246">
          <cell r="A2246" t="str">
            <v>SRODIN</v>
          </cell>
        </row>
        <row r="2247">
          <cell r="A2247" t="str">
            <v>SRO'DIN'</v>
          </cell>
        </row>
        <row r="2248">
          <cell r="A2248" t="str">
            <v>SRO'ISO'</v>
          </cell>
        </row>
        <row r="2249">
          <cell r="A2249" t="str">
            <v>SRO-TT</v>
          </cell>
        </row>
        <row r="2250">
          <cell r="A2250" t="str">
            <v>SRO-TT'DIN'</v>
          </cell>
        </row>
        <row r="2251">
          <cell r="A2251" t="str">
            <v>SRO-TT'ISO'</v>
          </cell>
        </row>
        <row r="2252">
          <cell r="A2252" t="str">
            <v>SRT</v>
          </cell>
        </row>
        <row r="2253">
          <cell r="A2253" t="str">
            <v>SRV</v>
          </cell>
        </row>
        <row r="2254">
          <cell r="A2254" t="str">
            <v>STEAMSEAL</v>
          </cell>
        </row>
        <row r="2255">
          <cell r="A2255" t="str">
            <v>STMPAC</v>
          </cell>
        </row>
        <row r="2256">
          <cell r="A2256" t="str">
            <v>STW</v>
          </cell>
        </row>
        <row r="2257">
          <cell r="A2257" t="str">
            <v>SW</v>
          </cell>
        </row>
        <row r="2258">
          <cell r="A2258" t="str">
            <v>T1R</v>
          </cell>
        </row>
        <row r="2259">
          <cell r="A2259" t="str">
            <v>T22</v>
          </cell>
        </row>
        <row r="2260">
          <cell r="A2260" t="str">
            <v>TB</v>
          </cell>
        </row>
        <row r="2261">
          <cell r="A2261" t="str">
            <v>TBA</v>
          </cell>
        </row>
        <row r="2262">
          <cell r="A2262" t="str">
            <v>TBAW12</v>
          </cell>
        </row>
        <row r="2263">
          <cell r="A2263" t="str">
            <v>TBD</v>
          </cell>
        </row>
        <row r="2264">
          <cell r="A2264" t="str">
            <v>TBR</v>
          </cell>
        </row>
        <row r="2265">
          <cell r="A2265" t="str">
            <v>TB-RT</v>
          </cell>
        </row>
        <row r="2266">
          <cell r="A2266" t="str">
            <v>TBXQW</v>
          </cell>
        </row>
        <row r="2267">
          <cell r="A2267" t="str">
            <v>TBXR/Q</v>
          </cell>
        </row>
        <row r="2268">
          <cell r="A2268" t="str">
            <v>TCG</v>
          </cell>
        </row>
        <row r="2269">
          <cell r="A2269" t="str">
            <v>TMB-73</v>
          </cell>
        </row>
        <row r="2270">
          <cell r="A2270" t="str">
            <v>TNQBQW</v>
          </cell>
        </row>
        <row r="2271">
          <cell r="A2271" t="str">
            <v>TQBQ/G</v>
          </cell>
        </row>
        <row r="2272">
          <cell r="A2272" t="str">
            <v>TQBQ30</v>
          </cell>
        </row>
        <row r="2273">
          <cell r="A2273" t="str">
            <v>TQBQ31</v>
          </cell>
        </row>
        <row r="2274">
          <cell r="A2274" t="str">
            <v>TQBQW/</v>
          </cell>
        </row>
        <row r="2275">
          <cell r="A2275" t="str">
            <v>TQBQW2</v>
          </cell>
        </row>
        <row r="2276">
          <cell r="A2276" t="str">
            <v>TQBQW3</v>
          </cell>
        </row>
        <row r="2277">
          <cell r="A2277" t="str">
            <v>TQBW26</v>
          </cell>
        </row>
        <row r="2278">
          <cell r="A2278" t="str">
            <v>TQBW38</v>
          </cell>
        </row>
        <row r="2279">
          <cell r="A2279" t="str">
            <v>TRIPLE</v>
          </cell>
        </row>
        <row r="2280">
          <cell r="A2280" t="str">
            <v>TUHTW/</v>
          </cell>
        </row>
        <row r="2281">
          <cell r="A2281" t="str">
            <v>TURBOPAC</v>
          </cell>
        </row>
        <row r="2282">
          <cell r="A2282" t="str">
            <v>TURBOPAC 375</v>
          </cell>
        </row>
        <row r="2283">
          <cell r="A2283" t="str">
            <v>TWO</v>
          </cell>
        </row>
        <row r="2284">
          <cell r="A2284" t="str">
            <v>TYPE 24</v>
          </cell>
        </row>
        <row r="2285">
          <cell r="A2285" t="str">
            <v>U</v>
          </cell>
        </row>
        <row r="2286">
          <cell r="A2286" t="str">
            <v>U &amp; D</v>
          </cell>
        </row>
        <row r="2287">
          <cell r="A2287" t="str">
            <v>U/GLR</v>
          </cell>
        </row>
        <row r="2288">
          <cell r="A2288" t="str">
            <v>U0</v>
          </cell>
        </row>
        <row r="2289">
          <cell r="A2289" t="str">
            <v>0-2875</v>
          </cell>
        </row>
        <row r="2290">
          <cell r="A2290" t="str">
            <v>U1187</v>
          </cell>
        </row>
        <row r="2291">
          <cell r="A2291" t="str">
            <v>U1437</v>
          </cell>
        </row>
        <row r="2292">
          <cell r="A2292" t="str">
            <v>U1875</v>
          </cell>
        </row>
        <row r="2293">
          <cell r="A2293" t="str">
            <v>UC</v>
          </cell>
        </row>
        <row r="2294">
          <cell r="A2294" t="str">
            <v>UC1625</v>
          </cell>
        </row>
        <row r="2295">
          <cell r="A2295" t="str">
            <v>UCD</v>
          </cell>
        </row>
        <row r="2296">
          <cell r="A2296" t="str">
            <v>UCDQ</v>
          </cell>
        </row>
        <row r="2297">
          <cell r="A2297" t="str">
            <v>UCDW</v>
          </cell>
        </row>
        <row r="2298">
          <cell r="A2298" t="str">
            <v>UCKPW</v>
          </cell>
        </row>
        <row r="2299">
          <cell r="A2299" t="str">
            <v>UCKQ</v>
          </cell>
        </row>
        <row r="2300">
          <cell r="A2300" t="str">
            <v>UCKQW</v>
          </cell>
        </row>
        <row r="2301">
          <cell r="A2301" t="str">
            <v>UCKW</v>
          </cell>
        </row>
        <row r="2302">
          <cell r="A2302" t="str">
            <v>UC-Lub</v>
          </cell>
        </row>
        <row r="2303">
          <cell r="A2303" t="str">
            <v>UCP</v>
          </cell>
        </row>
        <row r="2304">
          <cell r="A2304" t="str">
            <v>UCPQ</v>
          </cell>
        </row>
        <row r="2305">
          <cell r="A2305" t="str">
            <v>UCPW</v>
          </cell>
        </row>
        <row r="2306">
          <cell r="A2306" t="str">
            <v>UCQ</v>
          </cell>
        </row>
        <row r="2307">
          <cell r="A2307" t="str">
            <v>UCQ-HP</v>
          </cell>
        </row>
        <row r="2308">
          <cell r="A2308" t="str">
            <v>UCQW</v>
          </cell>
        </row>
        <row r="2309">
          <cell r="A2309" t="str">
            <v>UCQW23</v>
          </cell>
        </row>
        <row r="2310">
          <cell r="A2310" t="str">
            <v>UCU</v>
          </cell>
        </row>
        <row r="2311">
          <cell r="A2311" t="str">
            <v>UCW</v>
          </cell>
        </row>
        <row r="2312">
          <cell r="A2312" t="str">
            <v>UCWHP</v>
          </cell>
        </row>
        <row r="2313">
          <cell r="A2313" t="str">
            <v>UCZ</v>
          </cell>
        </row>
        <row r="2314">
          <cell r="A2314" t="str">
            <v>UCZQ</v>
          </cell>
        </row>
        <row r="2315">
          <cell r="A2315" t="str">
            <v>UCZW</v>
          </cell>
        </row>
        <row r="2316">
          <cell r="A2316" t="str">
            <v>UD</v>
          </cell>
        </row>
        <row r="2317">
          <cell r="A2317" t="str">
            <v>UD2062</v>
          </cell>
        </row>
        <row r="2318">
          <cell r="A2318" t="str">
            <v>UDC</v>
          </cell>
        </row>
        <row r="2319">
          <cell r="A2319" t="str">
            <v>UDCQ</v>
          </cell>
        </row>
        <row r="2320">
          <cell r="A2320" t="str">
            <v>UDCW</v>
          </cell>
        </row>
        <row r="2321">
          <cell r="A2321" t="str">
            <v>UDKW</v>
          </cell>
        </row>
        <row r="2322">
          <cell r="A2322" t="str">
            <v>UDL</v>
          </cell>
        </row>
        <row r="2323">
          <cell r="A2323" t="str">
            <v>UDO</v>
          </cell>
        </row>
        <row r="2324">
          <cell r="A2324" t="str">
            <v>UDQ</v>
          </cell>
        </row>
        <row r="2325">
          <cell r="A2325" t="str">
            <v>UDW</v>
          </cell>
        </row>
        <row r="2326">
          <cell r="A2326" t="str">
            <v>UF</v>
          </cell>
        </row>
        <row r="2327">
          <cell r="A2327" t="str">
            <v>UFC</v>
          </cell>
        </row>
        <row r="2328">
          <cell r="A2328" t="str">
            <v>UH</v>
          </cell>
        </row>
        <row r="2329">
          <cell r="A2329" t="str">
            <v>UHI</v>
          </cell>
        </row>
        <row r="2330">
          <cell r="A2330" t="str">
            <v>UHQ</v>
          </cell>
        </row>
        <row r="2331">
          <cell r="A2331" t="str">
            <v>UHQW</v>
          </cell>
        </row>
        <row r="2332">
          <cell r="A2332" t="str">
            <v>UHT</v>
          </cell>
        </row>
        <row r="2333">
          <cell r="A2333" t="str">
            <v>UHTW</v>
          </cell>
        </row>
        <row r="2334">
          <cell r="A2334" t="str">
            <v>UHW</v>
          </cell>
        </row>
        <row r="2335">
          <cell r="A2335" t="str">
            <v>U-II-W</v>
          </cell>
        </row>
        <row r="2336">
          <cell r="A2336" t="str">
            <v>UIN2W</v>
          </cell>
        </row>
        <row r="2337">
          <cell r="A2337" t="str">
            <v>UK</v>
          </cell>
        </row>
        <row r="2338">
          <cell r="A2338" t="str">
            <v>UKC</v>
          </cell>
        </row>
        <row r="2339">
          <cell r="A2339" t="str">
            <v>UKCP</v>
          </cell>
        </row>
        <row r="2340">
          <cell r="A2340" t="str">
            <v>UKCPQ</v>
          </cell>
        </row>
        <row r="2341">
          <cell r="A2341" t="str">
            <v>UKCPQW</v>
          </cell>
        </row>
        <row r="2342">
          <cell r="A2342" t="str">
            <v>UKCPW</v>
          </cell>
        </row>
        <row r="2343">
          <cell r="A2343" t="str">
            <v>UKCQ</v>
          </cell>
        </row>
        <row r="2344">
          <cell r="A2344" t="str">
            <v>UKCQW</v>
          </cell>
        </row>
        <row r="2345">
          <cell r="A2345" t="str">
            <v>UKCW</v>
          </cell>
        </row>
        <row r="2346">
          <cell r="A2346" t="str">
            <v>UKD</v>
          </cell>
        </row>
        <row r="2347">
          <cell r="A2347" t="str">
            <v>UKL</v>
          </cell>
        </row>
        <row r="2348">
          <cell r="A2348" t="str">
            <v>UKO</v>
          </cell>
        </row>
        <row r="2349">
          <cell r="A2349" t="str">
            <v>UKOPW</v>
          </cell>
        </row>
        <row r="2350">
          <cell r="A2350" t="str">
            <v>UKOQ</v>
          </cell>
        </row>
        <row r="2351">
          <cell r="A2351" t="str">
            <v>UKOQW</v>
          </cell>
        </row>
        <row r="2352">
          <cell r="A2352" t="str">
            <v>UKP</v>
          </cell>
        </row>
        <row r="2353">
          <cell r="A2353" t="str">
            <v>UKPW</v>
          </cell>
        </row>
        <row r="2354">
          <cell r="A2354" t="str">
            <v>UKQ</v>
          </cell>
        </row>
        <row r="2355">
          <cell r="A2355" t="str">
            <v>UKQW</v>
          </cell>
        </row>
        <row r="2356">
          <cell r="A2356" t="str">
            <v>UKW</v>
          </cell>
        </row>
        <row r="2357">
          <cell r="A2357" t="str">
            <v>UKZC</v>
          </cell>
        </row>
        <row r="2358">
          <cell r="A2358" t="str">
            <v>UL</v>
          </cell>
        </row>
        <row r="2359">
          <cell r="A2359" t="str">
            <v>ULQ</v>
          </cell>
        </row>
        <row r="2360">
          <cell r="A2360" t="str">
            <v>ULW</v>
          </cell>
        </row>
        <row r="2361">
          <cell r="A2361" t="str">
            <v>UM</v>
          </cell>
        </row>
        <row r="2362">
          <cell r="A2362" t="str">
            <v>UMP</v>
          </cell>
        </row>
        <row r="2363">
          <cell r="A2363" t="str">
            <v>UMPW</v>
          </cell>
        </row>
        <row r="2364">
          <cell r="A2364" t="str">
            <v>UMW</v>
          </cell>
        </row>
        <row r="2365">
          <cell r="A2365" t="str">
            <v>UN 1 +</v>
          </cell>
        </row>
        <row r="2366">
          <cell r="A2366" t="str">
            <v>UN 1W</v>
          </cell>
        </row>
        <row r="2367">
          <cell r="A2367" t="str">
            <v>UN IIW</v>
          </cell>
        </row>
        <row r="2368">
          <cell r="A2368" t="str">
            <v>UN IW</v>
          </cell>
        </row>
        <row r="2369">
          <cell r="A2369" t="str">
            <v>UN1PL</v>
          </cell>
        </row>
        <row r="2370">
          <cell r="A2370" t="str">
            <v>UN1PLS</v>
          </cell>
        </row>
        <row r="2371">
          <cell r="A2371" t="str">
            <v>UN-1W</v>
          </cell>
        </row>
        <row r="2372">
          <cell r="A2372" t="str">
            <v>UN-1-W</v>
          </cell>
        </row>
        <row r="2373">
          <cell r="A2373" t="str">
            <v>UNI</v>
          </cell>
        </row>
        <row r="2374">
          <cell r="A2374" t="str">
            <v>UNI  1</v>
          </cell>
        </row>
        <row r="2375">
          <cell r="A2375" t="str">
            <v>UNI +</v>
          </cell>
        </row>
        <row r="2376">
          <cell r="A2376" t="str">
            <v>UNI 1</v>
          </cell>
        </row>
        <row r="2377">
          <cell r="A2377" t="str">
            <v>UNI- 1</v>
          </cell>
        </row>
        <row r="2378">
          <cell r="A2378" t="str">
            <v>UNI 1 PLUS</v>
          </cell>
        </row>
        <row r="2379">
          <cell r="A2379" t="str">
            <v>UNI 1+</v>
          </cell>
        </row>
        <row r="2380">
          <cell r="A2380" t="str">
            <v>UNI 1W</v>
          </cell>
        </row>
        <row r="2381">
          <cell r="A2381" t="str">
            <v>UNI 2</v>
          </cell>
        </row>
        <row r="2382">
          <cell r="A2382" t="str">
            <v>UNI 2+</v>
          </cell>
        </row>
        <row r="2383">
          <cell r="A2383" t="str">
            <v>UNI 2W</v>
          </cell>
        </row>
        <row r="2384">
          <cell r="A2384" t="str">
            <v>UNI BXLS</v>
          </cell>
        </row>
        <row r="2385">
          <cell r="A2385" t="str">
            <v>UNI BXLS 1</v>
          </cell>
        </row>
        <row r="2386">
          <cell r="A2386" t="str">
            <v>UNI I</v>
          </cell>
        </row>
        <row r="2387">
          <cell r="A2387" t="str">
            <v>UNI I+</v>
          </cell>
        </row>
        <row r="2388">
          <cell r="A2388" t="str">
            <v>UNI II</v>
          </cell>
        </row>
        <row r="2389">
          <cell r="A2389" t="str">
            <v>UNI IW</v>
          </cell>
        </row>
        <row r="2390">
          <cell r="A2390" t="str">
            <v>UNI P</v>
          </cell>
        </row>
        <row r="2391">
          <cell r="A2391" t="str">
            <v>UNI PL</v>
          </cell>
        </row>
        <row r="2392">
          <cell r="A2392" t="str">
            <v>UNI W</v>
          </cell>
        </row>
        <row r="2393">
          <cell r="A2393" t="str">
            <v>UNI+</v>
          </cell>
        </row>
        <row r="2394">
          <cell r="A2394" t="str">
            <v>UNI1</v>
          </cell>
        </row>
        <row r="2395">
          <cell r="A2395" t="str">
            <v>UNI-1</v>
          </cell>
        </row>
        <row r="2396">
          <cell r="A2396" t="str">
            <v>UNI1 P</v>
          </cell>
        </row>
        <row r="2397">
          <cell r="A2397" t="str">
            <v>UNI1 W</v>
          </cell>
        </row>
        <row r="2398">
          <cell r="A2398" t="str">
            <v>UNI1+</v>
          </cell>
        </row>
        <row r="2399">
          <cell r="A2399" t="str">
            <v>UNI-1+</v>
          </cell>
        </row>
        <row r="2400">
          <cell r="A2400" t="str">
            <v>UNI1+W</v>
          </cell>
        </row>
        <row r="2401">
          <cell r="A2401" t="str">
            <v>UNI11W</v>
          </cell>
        </row>
        <row r="2402">
          <cell r="A2402" t="str">
            <v>UNI150</v>
          </cell>
        </row>
        <row r="2403">
          <cell r="A2403" t="str">
            <v>UNI1B+</v>
          </cell>
        </row>
        <row r="2404">
          <cell r="A2404" t="str">
            <v>UNI1P</v>
          </cell>
        </row>
        <row r="2405">
          <cell r="A2405" t="str">
            <v>UNI1PL</v>
          </cell>
        </row>
        <row r="2406">
          <cell r="A2406" t="str">
            <v>UNI1W</v>
          </cell>
        </row>
        <row r="2407">
          <cell r="A2407" t="str">
            <v>UNI-1W</v>
          </cell>
        </row>
        <row r="2408">
          <cell r="A2408" t="str">
            <v>UNI1W-</v>
          </cell>
        </row>
        <row r="2409">
          <cell r="A2409" t="str">
            <v>UNI1W1</v>
          </cell>
        </row>
        <row r="2410">
          <cell r="A2410" t="str">
            <v>UNI2</v>
          </cell>
        </row>
        <row r="2411">
          <cell r="A2411" t="str">
            <v>UNI-2</v>
          </cell>
        </row>
        <row r="2412">
          <cell r="A2412" t="str">
            <v>UNI2 +</v>
          </cell>
        </row>
        <row r="2413">
          <cell r="A2413" t="str">
            <v>UNI2 W</v>
          </cell>
        </row>
        <row r="2414">
          <cell r="A2414" t="str">
            <v>UNI2+</v>
          </cell>
        </row>
        <row r="2415">
          <cell r="A2415" t="str">
            <v>UNI-2+</v>
          </cell>
        </row>
        <row r="2416">
          <cell r="A2416" t="str">
            <v>UNI2B</v>
          </cell>
        </row>
        <row r="2417">
          <cell r="A2417" t="str">
            <v>UNI2B+</v>
          </cell>
        </row>
        <row r="2418">
          <cell r="A2418" t="str">
            <v>UNI2PL</v>
          </cell>
        </row>
        <row r="2419">
          <cell r="A2419" t="str">
            <v>UNI2W</v>
          </cell>
        </row>
        <row r="2420">
          <cell r="A2420" t="str">
            <v>UNI-2W</v>
          </cell>
        </row>
        <row r="2421">
          <cell r="A2421" t="str">
            <v>UNI2W-</v>
          </cell>
        </row>
        <row r="2422">
          <cell r="A2422" t="str">
            <v>UNIC</v>
          </cell>
        </row>
        <row r="2423">
          <cell r="A2423" t="str">
            <v>UNICBW</v>
          </cell>
        </row>
        <row r="2424">
          <cell r="A2424" t="str">
            <v>UNII</v>
          </cell>
        </row>
        <row r="2425">
          <cell r="A2425" t="str">
            <v>UNI-I</v>
          </cell>
        </row>
        <row r="2426">
          <cell r="A2426" t="str">
            <v>UNII W</v>
          </cell>
        </row>
        <row r="2427">
          <cell r="A2427" t="str">
            <v>UNII+W</v>
          </cell>
        </row>
        <row r="2428">
          <cell r="A2428" t="str">
            <v>UNIIIP</v>
          </cell>
        </row>
        <row r="2429">
          <cell r="A2429" t="str">
            <v>UNIIIW</v>
          </cell>
        </row>
        <row r="2430">
          <cell r="A2430" t="str">
            <v>UNIIPL</v>
          </cell>
        </row>
        <row r="2431">
          <cell r="A2431" t="str">
            <v>UNIIW</v>
          </cell>
        </row>
        <row r="2432">
          <cell r="A2432" t="str">
            <v>UN-IIW</v>
          </cell>
        </row>
        <row r="2433">
          <cell r="A2433" t="str">
            <v>UNI-IW</v>
          </cell>
        </row>
        <row r="2434">
          <cell r="A2434" t="str">
            <v>UNIIW1</v>
          </cell>
        </row>
        <row r="2435">
          <cell r="A2435" t="str">
            <v>UNIIW2</v>
          </cell>
        </row>
        <row r="2436">
          <cell r="A2436" t="str">
            <v>UNIONE</v>
          </cell>
        </row>
        <row r="2437">
          <cell r="A2437" t="str">
            <v>UNIPL</v>
          </cell>
        </row>
        <row r="2438">
          <cell r="A2438" t="str">
            <v>UNIPLS</v>
          </cell>
        </row>
        <row r="2439">
          <cell r="A2439" t="str">
            <v>UNIPLU</v>
          </cell>
        </row>
        <row r="2440">
          <cell r="A2440" t="str">
            <v>UNIS I</v>
          </cell>
        </row>
        <row r="2441">
          <cell r="A2441" t="str">
            <v>UNIS1+</v>
          </cell>
        </row>
        <row r="2442">
          <cell r="A2442" t="str">
            <v>UNISE</v>
          </cell>
        </row>
        <row r="2443">
          <cell r="A2443" t="str">
            <v>UNISEA</v>
          </cell>
        </row>
        <row r="2444">
          <cell r="A2444" t="str">
            <v>UNISEAL</v>
          </cell>
        </row>
        <row r="2445">
          <cell r="A2445" t="str">
            <v>UNISEAL 1</v>
          </cell>
        </row>
        <row r="2446">
          <cell r="A2446" t="str">
            <v>UNISEAL 1 W</v>
          </cell>
        </row>
        <row r="2447">
          <cell r="A2447" t="str">
            <v>UNISEAL 1W</v>
          </cell>
        </row>
        <row r="2448">
          <cell r="A2448" t="str">
            <v>UNISEAL 2</v>
          </cell>
        </row>
        <row r="2449">
          <cell r="A2449" t="str">
            <v>UNISEAL 2 PLUS</v>
          </cell>
        </row>
        <row r="2450">
          <cell r="A2450" t="str">
            <v>UNISEAL 2 W</v>
          </cell>
        </row>
        <row r="2451">
          <cell r="A2451" t="str">
            <v>UNISEAL II</v>
          </cell>
        </row>
        <row r="2452">
          <cell r="A2452" t="str">
            <v>UNI-SEAL II</v>
          </cell>
        </row>
        <row r="2453">
          <cell r="A2453" t="str">
            <v>UNISEAL II W</v>
          </cell>
        </row>
        <row r="2454">
          <cell r="A2454" t="str">
            <v>UNISEAL IIW PLUS</v>
          </cell>
        </row>
        <row r="2455">
          <cell r="A2455" t="str">
            <v>UNISEAL TWO</v>
          </cell>
        </row>
        <row r="2456">
          <cell r="A2456" t="str">
            <v>UNISEALW</v>
          </cell>
        </row>
        <row r="2457">
          <cell r="A2457" t="str">
            <v>UNISL1</v>
          </cell>
        </row>
        <row r="2458">
          <cell r="A2458" t="str">
            <v>UNITARY</v>
          </cell>
        </row>
        <row r="2459">
          <cell r="A2459" t="str">
            <v>UNIW</v>
          </cell>
        </row>
        <row r="2460">
          <cell r="A2460" t="str">
            <v>UNI-W</v>
          </cell>
        </row>
        <row r="2461">
          <cell r="A2461" t="str">
            <v>UNIW1</v>
          </cell>
        </row>
        <row r="2462">
          <cell r="A2462" t="str">
            <v>UNIWI</v>
          </cell>
        </row>
        <row r="2463">
          <cell r="A2463" t="str">
            <v>Unknown</v>
          </cell>
        </row>
        <row r="2464">
          <cell r="A2464" t="str">
            <v>UO</v>
          </cell>
        </row>
        <row r="2465">
          <cell r="A2465" t="str">
            <v>UOP</v>
          </cell>
        </row>
        <row r="2466">
          <cell r="A2466" t="str">
            <v>UOP250</v>
          </cell>
        </row>
        <row r="2467">
          <cell r="A2467" t="str">
            <v>UOPQ</v>
          </cell>
        </row>
        <row r="2468">
          <cell r="A2468" t="str">
            <v>UOPW</v>
          </cell>
        </row>
        <row r="2469">
          <cell r="A2469" t="str">
            <v>UOQ</v>
          </cell>
        </row>
        <row r="2470">
          <cell r="A2470" t="str">
            <v>UOQW</v>
          </cell>
        </row>
        <row r="2471">
          <cell r="A2471" t="str">
            <v>UOW</v>
          </cell>
        </row>
        <row r="2472">
          <cell r="A2472" t="str">
            <v>UP</v>
          </cell>
        </row>
        <row r="2473">
          <cell r="A2473" t="str">
            <v>UP II</v>
          </cell>
        </row>
        <row r="2474">
          <cell r="A2474" t="str">
            <v>UPC</v>
          </cell>
        </row>
        <row r="2475">
          <cell r="A2475" t="str">
            <v>UPDW</v>
          </cell>
        </row>
        <row r="2476">
          <cell r="A2476" t="str">
            <v>UPW</v>
          </cell>
        </row>
        <row r="2477">
          <cell r="A2477" t="str">
            <v>UQ</v>
          </cell>
        </row>
        <row r="2478">
          <cell r="A2478" t="str">
            <v>UQW</v>
          </cell>
        </row>
        <row r="2479">
          <cell r="A2479" t="str">
            <v>UR</v>
          </cell>
        </row>
        <row r="2480">
          <cell r="A2480" t="str">
            <v>URW</v>
          </cell>
        </row>
        <row r="2481">
          <cell r="A2481" t="str">
            <v>USEAL</v>
          </cell>
        </row>
        <row r="2482">
          <cell r="A2482" t="str">
            <v>UU</v>
          </cell>
        </row>
        <row r="2483">
          <cell r="A2483" t="str">
            <v>UW</v>
          </cell>
        </row>
        <row r="2484">
          <cell r="A2484" t="str">
            <v>UX</v>
          </cell>
        </row>
        <row r="2485">
          <cell r="A2485" t="str">
            <v>UXC</v>
          </cell>
        </row>
        <row r="2486">
          <cell r="A2486" t="str">
            <v>UXCQ</v>
          </cell>
        </row>
        <row r="2487">
          <cell r="A2487" t="str">
            <v>UXD</v>
          </cell>
        </row>
        <row r="2488">
          <cell r="A2488" t="str">
            <v>UXDW</v>
          </cell>
        </row>
        <row r="2489">
          <cell r="A2489" t="str">
            <v>UXO</v>
          </cell>
        </row>
        <row r="2490">
          <cell r="A2490" t="str">
            <v>UXOPW</v>
          </cell>
        </row>
        <row r="2491">
          <cell r="A2491" t="str">
            <v>UXOQ</v>
          </cell>
        </row>
        <row r="2492">
          <cell r="A2492" t="str">
            <v>UXOQW</v>
          </cell>
        </row>
        <row r="2493">
          <cell r="A2493" t="str">
            <v>UXOW</v>
          </cell>
        </row>
        <row r="2494">
          <cell r="A2494" t="str">
            <v>UXP</v>
          </cell>
        </row>
        <row r="2495">
          <cell r="A2495" t="str">
            <v>UXQ</v>
          </cell>
        </row>
        <row r="2496">
          <cell r="A2496" t="str">
            <v>UXQW</v>
          </cell>
        </row>
        <row r="2497">
          <cell r="A2497" t="str">
            <v>UXW</v>
          </cell>
        </row>
        <row r="2498">
          <cell r="A2498" t="str">
            <v>UXZ</v>
          </cell>
        </row>
        <row r="2499">
          <cell r="A2499" t="str">
            <v>UXZCQ</v>
          </cell>
        </row>
        <row r="2500">
          <cell r="A2500" t="str">
            <v>UXZD</v>
          </cell>
        </row>
        <row r="2501">
          <cell r="A2501" t="str">
            <v>UXZDW</v>
          </cell>
        </row>
        <row r="2502">
          <cell r="A2502" t="str">
            <v>UXZQW</v>
          </cell>
        </row>
        <row r="2503">
          <cell r="A2503" t="str">
            <v>UZ</v>
          </cell>
        </row>
        <row r="2504">
          <cell r="A2504" t="str">
            <v>UZ0</v>
          </cell>
        </row>
        <row r="2505">
          <cell r="A2505" t="str">
            <v>UZ0PW</v>
          </cell>
        </row>
        <row r="2506">
          <cell r="A2506" t="str">
            <v>UZ0Q</v>
          </cell>
        </row>
        <row r="2507">
          <cell r="A2507" t="str">
            <v>UZ0W</v>
          </cell>
        </row>
        <row r="2508">
          <cell r="A2508" t="str">
            <v>UZC</v>
          </cell>
        </row>
        <row r="2509">
          <cell r="A2509" t="str">
            <v>UZCDW</v>
          </cell>
        </row>
        <row r="2510">
          <cell r="A2510" t="str">
            <v>UZCOW</v>
          </cell>
        </row>
        <row r="2511">
          <cell r="A2511" t="str">
            <v>UZCP</v>
          </cell>
        </row>
        <row r="2512">
          <cell r="A2512" t="str">
            <v>UZCPQ</v>
          </cell>
        </row>
        <row r="2513">
          <cell r="A2513" t="str">
            <v>UZCPQW</v>
          </cell>
        </row>
        <row r="2514">
          <cell r="A2514" t="str">
            <v>UZCPW</v>
          </cell>
        </row>
        <row r="2515">
          <cell r="A2515" t="str">
            <v>UZCQ</v>
          </cell>
        </row>
        <row r="2516">
          <cell r="A2516" t="str">
            <v>UZCQ00</v>
          </cell>
        </row>
        <row r="2517">
          <cell r="A2517" t="str">
            <v>UZCQW</v>
          </cell>
        </row>
        <row r="2518">
          <cell r="A2518" t="str">
            <v>UZCQW1</v>
          </cell>
        </row>
        <row r="2519">
          <cell r="A2519" t="str">
            <v>UZCW</v>
          </cell>
        </row>
        <row r="2520">
          <cell r="A2520" t="str">
            <v>UZD</v>
          </cell>
        </row>
        <row r="2521">
          <cell r="A2521" t="str">
            <v>UZDC</v>
          </cell>
        </row>
        <row r="2522">
          <cell r="A2522" t="str">
            <v>UZDCQ</v>
          </cell>
        </row>
        <row r="2523">
          <cell r="A2523" t="str">
            <v>UZDCW</v>
          </cell>
        </row>
        <row r="2524">
          <cell r="A2524" t="str">
            <v>UZDO</v>
          </cell>
        </row>
        <row r="2525">
          <cell r="A2525" t="str">
            <v>UZDOQ</v>
          </cell>
        </row>
        <row r="2526">
          <cell r="A2526" t="str">
            <v>UZDQ</v>
          </cell>
        </row>
        <row r="2527">
          <cell r="A2527" t="str">
            <v>UZDW</v>
          </cell>
        </row>
        <row r="2528">
          <cell r="A2528" t="str">
            <v>UZH</v>
          </cell>
        </row>
        <row r="2529">
          <cell r="A2529" t="str">
            <v>UZO</v>
          </cell>
        </row>
        <row r="2530">
          <cell r="A2530" t="str">
            <v>UZOP</v>
          </cell>
        </row>
        <row r="2531">
          <cell r="A2531" t="str">
            <v>UZOPQ</v>
          </cell>
        </row>
        <row r="2532">
          <cell r="A2532" t="str">
            <v>UZOPQW</v>
          </cell>
        </row>
        <row r="2533">
          <cell r="A2533" t="str">
            <v>UZOPW</v>
          </cell>
        </row>
        <row r="2534">
          <cell r="A2534" t="str">
            <v>UZOQ</v>
          </cell>
        </row>
        <row r="2535">
          <cell r="A2535" t="str">
            <v>UZOQW</v>
          </cell>
        </row>
        <row r="2536">
          <cell r="A2536" t="str">
            <v>UZOW</v>
          </cell>
        </row>
        <row r="2537">
          <cell r="A2537" t="str">
            <v>UZP</v>
          </cell>
        </row>
        <row r="2538">
          <cell r="A2538" t="str">
            <v>UZPOW</v>
          </cell>
        </row>
        <row r="2539">
          <cell r="A2539" t="str">
            <v>UZPQ</v>
          </cell>
        </row>
        <row r="2540">
          <cell r="A2540" t="str">
            <v>UZPW</v>
          </cell>
        </row>
        <row r="2541">
          <cell r="A2541" t="str">
            <v>UZQ</v>
          </cell>
        </row>
        <row r="2542">
          <cell r="A2542" t="str">
            <v>UZQW</v>
          </cell>
        </row>
        <row r="2543">
          <cell r="A2543" t="str">
            <v>UZW</v>
          </cell>
        </row>
        <row r="2544">
          <cell r="A2544" t="str">
            <v>VO</v>
          </cell>
        </row>
        <row r="2545">
          <cell r="A2545" t="str">
            <v>VRA</v>
          </cell>
        </row>
        <row r="2546">
          <cell r="A2546" t="str">
            <v>VRA-BP</v>
          </cell>
        </row>
        <row r="2547">
          <cell r="A2547" t="str">
            <v>VRAC</v>
          </cell>
        </row>
        <row r="2548">
          <cell r="A2548" t="str">
            <v>VRA-C</v>
          </cell>
        </row>
        <row r="2549">
          <cell r="A2549" t="str">
            <v>VRA-LBP</v>
          </cell>
        </row>
        <row r="2550">
          <cell r="A2550" t="str">
            <v>W</v>
          </cell>
        </row>
        <row r="2551">
          <cell r="A2551" t="str">
            <v>WDW</v>
          </cell>
        </row>
        <row r="2552">
          <cell r="A2552" t="str">
            <v>X</v>
          </cell>
        </row>
        <row r="2553">
          <cell r="A2553" t="str">
            <v>X-100</v>
          </cell>
        </row>
        <row r="2554">
          <cell r="A2554" t="str">
            <v>X-100 UD</v>
          </cell>
        </row>
        <row r="2555">
          <cell r="A2555" t="str">
            <v>X-100/200</v>
          </cell>
        </row>
        <row r="2556">
          <cell r="A2556" t="str">
            <v>X-100/X-200</v>
          </cell>
        </row>
        <row r="2557">
          <cell r="A2557" t="str">
            <v>X-100-E</v>
          </cell>
        </row>
        <row r="2558">
          <cell r="A2558" t="str">
            <v>X-101</v>
          </cell>
        </row>
        <row r="2559">
          <cell r="A2559" t="str">
            <v>X-101 UD</v>
          </cell>
        </row>
        <row r="2560">
          <cell r="A2560" t="str">
            <v>X-101-E</v>
          </cell>
        </row>
        <row r="2561">
          <cell r="A2561" t="str">
            <v>X-200</v>
          </cell>
        </row>
        <row r="2562">
          <cell r="A2562" t="str">
            <v>X-200 UD</v>
          </cell>
        </row>
        <row r="2563">
          <cell r="A2563" t="str">
            <v>X-200E</v>
          </cell>
        </row>
        <row r="2564">
          <cell r="A2564" t="str">
            <v>X-200-E</v>
          </cell>
        </row>
        <row r="2565">
          <cell r="A2565" t="str">
            <v>X-201</v>
          </cell>
        </row>
        <row r="2566">
          <cell r="A2566" t="str">
            <v>X-201-E</v>
          </cell>
        </row>
        <row r="2567">
          <cell r="A2567" t="str">
            <v>X-201-UD</v>
          </cell>
        </row>
        <row r="2568">
          <cell r="A2568" t="str">
            <v>X-50</v>
          </cell>
        </row>
        <row r="2569">
          <cell r="A2569" t="str">
            <v>X-50'DIN'UD</v>
          </cell>
        </row>
        <row r="2570">
          <cell r="A2570" t="str">
            <v>X-51</v>
          </cell>
        </row>
        <row r="2571">
          <cell r="A2571" t="str">
            <v>XRO</v>
          </cell>
        </row>
        <row r="2572">
          <cell r="A2572">
            <v>17</v>
          </cell>
        </row>
      </sheetData>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Template - Demo"/>
      <sheetName val="Proposed Template"/>
      <sheetName val="Purchase Parts"/>
      <sheetName val="UoM"/>
    </sheetNames>
    <sheetDataSet>
      <sheetData sheetId="0"/>
      <sheetData sheetId="1"/>
      <sheetData sheetId="2"/>
      <sheetData sheetId="3">
        <row r="2">
          <cell r="A2" t="str">
            <v>*</v>
          </cell>
        </row>
        <row r="3">
          <cell r="A3" t="str">
            <v>EA</v>
          </cell>
        </row>
        <row r="4">
          <cell r="A4" t="str">
            <v>h</v>
          </cell>
        </row>
        <row r="5">
          <cell r="A5" t="str">
            <v>kg</v>
          </cell>
        </row>
        <row r="6">
          <cell r="A6" t="str">
            <v>km</v>
          </cell>
        </row>
        <row r="7">
          <cell r="A7" t="str">
            <v>l</v>
          </cell>
        </row>
        <row r="8">
          <cell r="A8" t="str">
            <v>m</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EX2100Export"/>
      <sheetName val="Customer Information"/>
      <sheetName val="RangeData"/>
      <sheetName val="Screening_Points"/>
      <sheetName val="Plant"/>
      <sheetName val="Applications"/>
      <sheetName val="Scope-Controls"/>
      <sheetName val="Scope-HW"/>
      <sheetName val="Trendmaster Configure"/>
      <sheetName val="Screen-Hydro"/>
      <sheetName val="Screen-OPS"/>
      <sheetName val="PackSys"/>
      <sheetName val="Scope-SW"/>
      <sheetName val="Scope-PartXRef"/>
      <sheetName val="Scope-TMBOP"/>
      <sheetName val="HW-SW"/>
      <sheetName val="PL"/>
      <sheetName val="Spare Parts"/>
      <sheetName val="Service Cal"/>
      <sheetName val="Service Pricing"/>
      <sheetName val="3500 Rack Layout"/>
      <sheetName val="Parts List"/>
      <sheetName val="ScopeDefaults"/>
      <sheetName val="Quotation"/>
      <sheetName val="R2 Summary"/>
      <sheetName val="RRC"/>
      <sheetName val="PriceAuthority"/>
      <sheetName val="Margin Share"/>
      <sheetName val="Endnotes - Fixed Price"/>
      <sheetName val="Endnotes - Budgetary"/>
      <sheetName val="Service OTR Summary"/>
      <sheetName val="Scope-SW-V5"/>
      <sheetName val="Revision Stat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67649-7E04-4C16-BAFD-FFB2C288EFF0}">
  <sheetPr>
    <pageSetUpPr fitToPage="1"/>
  </sheetPr>
  <dimension ref="A1:T37"/>
  <sheetViews>
    <sheetView view="pageBreakPreview" topLeftCell="A16" zoomScaleSheetLayoutView="100" workbookViewId="0">
      <selection activeCell="C15" sqref="C15:Q15"/>
    </sheetView>
  </sheetViews>
  <sheetFormatPr defaultColWidth="6.44140625" defaultRowHeight="15.6"/>
  <cols>
    <col min="1" max="1" width="2.5546875" style="5" customWidth="1"/>
    <col min="2" max="2" width="10.5546875" style="5" customWidth="1"/>
    <col min="3" max="17" width="8.5546875" style="5" customWidth="1"/>
    <col min="18" max="18" width="2.5546875" style="5" customWidth="1"/>
    <col min="19" max="19" width="2.6640625" style="37" customWidth="1"/>
    <col min="20" max="20" width="21.44140625" style="37" customWidth="1"/>
    <col min="21" max="16384" width="6.44140625" style="5"/>
  </cols>
  <sheetData>
    <row r="1" spans="1:18">
      <c r="A1" s="197"/>
      <c r="B1" s="197"/>
    </row>
    <row r="2" spans="1:18" ht="18">
      <c r="A2" s="197"/>
      <c r="B2" s="197"/>
      <c r="L2" s="199" t="s">
        <v>0</v>
      </c>
      <c r="M2" s="199"/>
      <c r="N2" s="199"/>
      <c r="O2" s="199"/>
      <c r="P2" s="199"/>
      <c r="Q2" s="199"/>
      <c r="R2" s="199"/>
    </row>
    <row r="3" spans="1:18" ht="16.5" customHeight="1" thickBot="1">
      <c r="A3" s="198"/>
      <c r="B3" s="198"/>
      <c r="C3" s="38"/>
      <c r="D3" s="38"/>
      <c r="E3" s="38"/>
      <c r="F3" s="38"/>
      <c r="G3" s="38"/>
      <c r="H3" s="38"/>
      <c r="I3" s="38"/>
      <c r="J3" s="38"/>
      <c r="K3" s="38"/>
      <c r="L3" s="38"/>
      <c r="M3" s="38"/>
      <c r="N3" s="38"/>
      <c r="O3" s="38"/>
      <c r="P3" s="38"/>
      <c r="Q3" s="38"/>
      <c r="R3" s="38"/>
    </row>
    <row r="4" spans="1:18" ht="16.2" thickTop="1">
      <c r="J4" s="39"/>
      <c r="K4" s="39"/>
      <c r="L4" s="39"/>
      <c r="M4" s="39"/>
    </row>
    <row r="5" spans="1:18" s="37" customFormat="1">
      <c r="A5" s="5"/>
      <c r="B5" s="200">
        <v>46246</v>
      </c>
      <c r="C5" s="200"/>
      <c r="D5" s="1"/>
      <c r="E5" s="1"/>
      <c r="F5" s="1"/>
      <c r="G5" s="1"/>
      <c r="H5" s="1"/>
      <c r="I5" s="1"/>
      <c r="J5" s="2"/>
      <c r="K5" s="2"/>
      <c r="L5" s="2"/>
      <c r="M5" s="2"/>
      <c r="N5" s="1"/>
      <c r="O5" s="1"/>
      <c r="P5" s="1"/>
      <c r="Q5" s="1"/>
      <c r="R5" s="5"/>
    </row>
    <row r="6" spans="1:18" s="37" customFormat="1">
      <c r="A6" s="5"/>
      <c r="B6" s="1" t="s">
        <v>1</v>
      </c>
      <c r="C6" s="65" t="s">
        <v>68</v>
      </c>
      <c r="D6" s="1"/>
      <c r="E6" s="1"/>
      <c r="F6" s="1"/>
      <c r="G6" s="1"/>
      <c r="H6" s="1"/>
      <c r="I6" s="1"/>
      <c r="J6" s="2"/>
      <c r="K6" s="2"/>
      <c r="L6" s="2"/>
      <c r="M6" s="2"/>
      <c r="N6" s="1"/>
      <c r="O6" s="1"/>
      <c r="P6" s="1"/>
      <c r="Q6" s="1"/>
      <c r="R6" s="5"/>
    </row>
    <row r="7" spans="1:18" s="37" customFormat="1">
      <c r="A7" s="5"/>
      <c r="B7" s="3" t="s">
        <v>2</v>
      </c>
      <c r="C7" s="3" t="s">
        <v>157</v>
      </c>
      <c r="D7" s="1"/>
      <c r="E7" s="1"/>
      <c r="F7" s="1"/>
      <c r="G7" s="1"/>
      <c r="H7" s="1"/>
      <c r="I7" s="1"/>
      <c r="J7" s="2"/>
      <c r="K7" s="2"/>
      <c r="L7" s="2"/>
      <c r="M7" s="2"/>
      <c r="N7" s="1"/>
      <c r="O7" s="1"/>
      <c r="P7" s="1"/>
      <c r="Q7" s="1"/>
      <c r="R7" s="5"/>
    </row>
    <row r="8" spans="1:18" s="37" customFormat="1">
      <c r="A8" s="5"/>
      <c r="B8" s="3" t="s">
        <v>3</v>
      </c>
      <c r="C8" s="3" t="s">
        <v>52</v>
      </c>
      <c r="D8" s="1"/>
      <c r="E8" s="1"/>
      <c r="F8" s="1"/>
      <c r="G8" s="1"/>
      <c r="H8" s="1"/>
      <c r="I8" s="1"/>
      <c r="J8" s="2"/>
      <c r="K8" s="2"/>
      <c r="L8" s="2"/>
      <c r="M8" s="2"/>
      <c r="N8" s="1"/>
      <c r="O8" s="1"/>
      <c r="P8" s="1"/>
      <c r="Q8" s="1"/>
      <c r="R8" s="5"/>
    </row>
    <row r="9" spans="1:18" s="37" customFormat="1">
      <c r="A9" s="5"/>
      <c r="B9" s="3" t="s">
        <v>4</v>
      </c>
      <c r="C9" s="4" t="s">
        <v>5</v>
      </c>
      <c r="D9" s="1"/>
      <c r="E9" s="1"/>
      <c r="F9" s="1"/>
      <c r="G9" s="1"/>
      <c r="H9" s="1"/>
      <c r="I9" s="1"/>
      <c r="J9" s="2"/>
      <c r="K9" s="2"/>
      <c r="L9" s="2"/>
      <c r="M9" s="2"/>
      <c r="N9" s="1"/>
      <c r="O9" s="1"/>
      <c r="P9" s="1"/>
      <c r="Q9" s="1"/>
      <c r="R9" s="5"/>
    </row>
    <row r="10" spans="1:18" s="37" customFormat="1">
      <c r="A10" s="5"/>
      <c r="B10" s="3"/>
      <c r="C10" s="4"/>
      <c r="D10" s="1"/>
      <c r="E10" s="1"/>
      <c r="F10" s="1"/>
      <c r="G10" s="1"/>
      <c r="H10" s="1"/>
      <c r="I10" s="1"/>
      <c r="J10" s="2"/>
      <c r="K10" s="2"/>
      <c r="L10" s="2"/>
      <c r="M10" s="2"/>
      <c r="N10" s="1"/>
      <c r="O10" s="1"/>
      <c r="P10" s="1"/>
      <c r="Q10" s="1"/>
      <c r="R10" s="5"/>
    </row>
    <row r="11" spans="1:18" s="37" customFormat="1">
      <c r="A11" s="5"/>
      <c r="B11" s="59" t="s">
        <v>53</v>
      </c>
      <c r="C11" s="1"/>
      <c r="D11" s="1"/>
      <c r="E11" s="1"/>
      <c r="F11" s="1"/>
      <c r="G11" s="1"/>
      <c r="H11" s="1"/>
      <c r="I11" s="1"/>
      <c r="J11" s="2"/>
      <c r="K11" s="2"/>
      <c r="L11" s="1"/>
      <c r="M11" s="2"/>
      <c r="N11" s="1"/>
      <c r="O11" s="1"/>
      <c r="P11" s="1"/>
      <c r="Q11" s="1"/>
      <c r="R11" s="5"/>
    </row>
    <row r="12" spans="1:18" s="37" customFormat="1">
      <c r="A12" s="5"/>
      <c r="B12" s="1" t="s">
        <v>54</v>
      </c>
      <c r="C12" s="1"/>
      <c r="D12" s="1"/>
      <c r="E12" s="1"/>
      <c r="F12" s="1"/>
      <c r="G12" s="1"/>
      <c r="H12" s="1"/>
      <c r="I12" s="1"/>
      <c r="J12" s="2"/>
      <c r="K12" s="2"/>
      <c r="L12" s="1"/>
      <c r="M12" s="2"/>
      <c r="N12" s="1"/>
      <c r="O12" s="1"/>
      <c r="P12" s="1"/>
      <c r="Q12" s="1"/>
      <c r="R12" s="5"/>
    </row>
    <row r="13" spans="1:18" s="37" customFormat="1">
      <c r="A13" s="5"/>
      <c r="B13" s="40" t="s">
        <v>55</v>
      </c>
      <c r="C13" s="1"/>
      <c r="D13" s="1"/>
      <c r="E13" s="1"/>
      <c r="F13" s="1"/>
      <c r="G13" s="1"/>
      <c r="H13" s="1"/>
      <c r="I13" s="1"/>
      <c r="J13" s="2"/>
      <c r="K13" s="2"/>
      <c r="L13" s="1"/>
      <c r="M13" s="2"/>
      <c r="N13" s="1"/>
      <c r="O13" s="1"/>
      <c r="P13" s="1"/>
      <c r="Q13" s="1"/>
      <c r="R13" s="5"/>
    </row>
    <row r="14" spans="1:18" s="37" customFormat="1">
      <c r="A14" s="5"/>
      <c r="B14" s="66"/>
      <c r="C14" s="1"/>
      <c r="D14" s="1"/>
      <c r="E14" s="1"/>
      <c r="F14" s="1"/>
      <c r="G14" s="1"/>
      <c r="H14" s="1"/>
      <c r="I14" s="1"/>
      <c r="J14" s="2"/>
      <c r="K14" s="2"/>
      <c r="L14" s="1"/>
      <c r="M14" s="2"/>
      <c r="N14" s="1"/>
      <c r="O14" s="1"/>
      <c r="P14" s="1"/>
      <c r="Q14" s="1"/>
      <c r="R14" s="5"/>
    </row>
    <row r="15" spans="1:18" s="37" customFormat="1" ht="48" customHeight="1">
      <c r="A15" s="5"/>
      <c r="B15" s="41" t="s">
        <v>6</v>
      </c>
      <c r="C15" s="203" t="s">
        <v>222</v>
      </c>
      <c r="D15" s="203"/>
      <c r="E15" s="203"/>
      <c r="F15" s="203"/>
      <c r="G15" s="203"/>
      <c r="H15" s="203"/>
      <c r="I15" s="203"/>
      <c r="J15" s="203"/>
      <c r="K15" s="203"/>
      <c r="L15" s="203"/>
      <c r="M15" s="203"/>
      <c r="N15" s="203"/>
      <c r="O15" s="203"/>
      <c r="P15" s="203"/>
      <c r="Q15" s="203"/>
      <c r="R15" s="5"/>
    </row>
    <row r="17" spans="1:18" s="37" customFormat="1" ht="31.95" customHeight="1">
      <c r="A17" s="5"/>
      <c r="B17" s="5" t="s">
        <v>7</v>
      </c>
      <c r="C17" s="201" t="s">
        <v>223</v>
      </c>
      <c r="D17" s="201"/>
      <c r="E17" s="201"/>
      <c r="F17" s="201"/>
      <c r="G17" s="201"/>
      <c r="H17" s="201"/>
      <c r="I17" s="201"/>
      <c r="J17" s="201"/>
      <c r="K17" s="201"/>
      <c r="L17" s="201"/>
      <c r="M17" s="201"/>
      <c r="N17" s="201"/>
      <c r="O17" s="201"/>
      <c r="P17" s="201"/>
      <c r="Q17" s="201"/>
      <c r="R17" s="5"/>
    </row>
    <row r="19" spans="1:18" s="37" customFormat="1" ht="15.6" customHeight="1">
      <c r="A19" s="5"/>
      <c r="B19" s="1" t="s">
        <v>8</v>
      </c>
      <c r="C19" s="202" t="s">
        <v>224</v>
      </c>
      <c r="D19" s="202"/>
      <c r="E19" s="202"/>
      <c r="F19" s="202"/>
      <c r="G19" s="202"/>
      <c r="H19" s="202"/>
      <c r="I19" s="202"/>
      <c r="J19" s="202"/>
      <c r="K19" s="202"/>
      <c r="L19" s="202"/>
      <c r="M19" s="202"/>
      <c r="N19" s="202"/>
      <c r="O19" s="202"/>
      <c r="P19" s="202"/>
      <c r="Q19" s="202"/>
      <c r="R19" s="5"/>
    </row>
    <row r="20" spans="1:18" s="37" customFormat="1">
      <c r="A20" s="5"/>
      <c r="B20" s="5"/>
      <c r="C20" s="5"/>
      <c r="D20" s="5"/>
      <c r="E20" s="5"/>
      <c r="F20" s="5"/>
      <c r="G20" s="5"/>
      <c r="H20" s="5"/>
      <c r="I20" s="5"/>
      <c r="J20" s="39"/>
      <c r="K20" s="39"/>
      <c r="L20" s="39"/>
      <c r="M20" s="39"/>
      <c r="N20" s="5"/>
      <c r="O20" s="5"/>
      <c r="P20" s="5"/>
      <c r="Q20" s="5"/>
      <c r="R20" s="5"/>
    </row>
    <row r="21" spans="1:18" s="37" customFormat="1">
      <c r="A21" s="5"/>
      <c r="B21" s="5" t="s">
        <v>9</v>
      </c>
      <c r="C21" s="5"/>
      <c r="D21" s="5"/>
      <c r="E21" s="5"/>
      <c r="F21" s="5"/>
      <c r="G21" s="5"/>
      <c r="H21" s="5"/>
      <c r="I21" s="5"/>
      <c r="J21" s="39"/>
      <c r="K21" s="39"/>
      <c r="L21" s="39"/>
      <c r="M21" s="39"/>
      <c r="N21" s="5"/>
      <c r="O21" s="5"/>
      <c r="P21" s="5"/>
      <c r="Q21" s="5"/>
      <c r="R21" s="5"/>
    </row>
    <row r="22" spans="1:18" s="37" customFormat="1">
      <c r="A22" s="5"/>
      <c r="B22" s="5"/>
      <c r="C22" s="5"/>
      <c r="D22" s="5"/>
      <c r="E22" s="5"/>
      <c r="F22" s="5"/>
      <c r="G22" s="5"/>
      <c r="H22" s="5"/>
      <c r="I22" s="5"/>
      <c r="J22" s="39"/>
      <c r="K22" s="39"/>
      <c r="L22" s="39"/>
      <c r="M22" s="39"/>
      <c r="N22" s="5"/>
      <c r="O22" s="5"/>
      <c r="P22" s="5"/>
      <c r="Q22" s="5"/>
      <c r="R22" s="5"/>
    </row>
    <row r="23" spans="1:18" s="37" customFormat="1" ht="277.8" customHeight="1">
      <c r="A23" s="5"/>
      <c r="B23" s="203" t="s">
        <v>198</v>
      </c>
      <c r="C23" s="203"/>
      <c r="D23" s="203"/>
      <c r="E23" s="203"/>
      <c r="F23" s="203"/>
      <c r="G23" s="203"/>
      <c r="H23" s="203"/>
      <c r="I23" s="203"/>
      <c r="J23" s="203"/>
      <c r="K23" s="203"/>
      <c r="L23" s="203"/>
      <c r="M23" s="203"/>
      <c r="N23" s="203"/>
      <c r="O23" s="203"/>
      <c r="P23" s="203"/>
      <c r="Q23" s="203"/>
      <c r="R23" s="36"/>
    </row>
    <row r="24" spans="1:18" s="37" customFormat="1">
      <c r="A24" s="5"/>
      <c r="B24" s="36"/>
      <c r="C24" s="36"/>
      <c r="D24" s="36"/>
      <c r="E24" s="36"/>
      <c r="F24" s="36"/>
      <c r="G24" s="36"/>
      <c r="H24" s="36"/>
      <c r="I24" s="36"/>
      <c r="J24" s="36"/>
      <c r="K24" s="36"/>
      <c r="L24" s="36"/>
      <c r="M24" s="36"/>
      <c r="N24" s="36"/>
      <c r="O24" s="36"/>
      <c r="P24" s="36"/>
      <c r="Q24" s="36"/>
      <c r="R24" s="36"/>
    </row>
    <row r="25" spans="1:18" s="37" customFormat="1" ht="150.6" customHeight="1">
      <c r="A25" s="5"/>
      <c r="B25" s="203" t="s">
        <v>67</v>
      </c>
      <c r="C25" s="203"/>
      <c r="D25" s="203"/>
      <c r="E25" s="203"/>
      <c r="F25" s="203"/>
      <c r="G25" s="203"/>
      <c r="H25" s="203"/>
      <c r="I25" s="203"/>
      <c r="J25" s="203"/>
      <c r="K25" s="203"/>
      <c r="L25" s="203"/>
      <c r="M25" s="203"/>
      <c r="N25" s="203"/>
      <c r="O25" s="203"/>
      <c r="P25" s="203"/>
      <c r="Q25" s="203"/>
      <c r="R25" s="5"/>
    </row>
    <row r="26" spans="1:18" s="37" customFormat="1">
      <c r="A26" s="5"/>
      <c r="B26" s="36"/>
      <c r="C26" s="36"/>
      <c r="D26" s="36"/>
      <c r="E26" s="36"/>
      <c r="F26" s="36"/>
      <c r="G26" s="36"/>
      <c r="H26" s="36"/>
      <c r="I26" s="36"/>
      <c r="J26" s="36"/>
      <c r="K26" s="36"/>
      <c r="L26" s="36"/>
      <c r="M26" s="36"/>
      <c r="N26" s="36"/>
      <c r="O26" s="36"/>
      <c r="P26" s="36"/>
      <c r="Q26" s="36"/>
      <c r="R26" s="5"/>
    </row>
    <row r="27" spans="1:18" s="37" customFormat="1">
      <c r="A27" s="5"/>
      <c r="B27" s="5"/>
      <c r="C27" s="5"/>
      <c r="D27" s="5"/>
      <c r="E27" s="5"/>
      <c r="F27" s="5"/>
      <c r="G27" s="5"/>
      <c r="H27" s="5"/>
      <c r="I27" s="5"/>
      <c r="J27" s="39"/>
      <c r="K27" s="39"/>
      <c r="L27" s="39"/>
      <c r="M27" s="39"/>
      <c r="N27" s="5"/>
      <c r="O27" s="5"/>
      <c r="P27" s="5"/>
      <c r="Q27" s="5"/>
      <c r="R27" s="5"/>
    </row>
    <row r="28" spans="1:18" s="37" customFormat="1">
      <c r="A28" s="5"/>
      <c r="B28" s="5"/>
      <c r="C28" s="5"/>
      <c r="D28" s="5"/>
      <c r="E28" s="5"/>
      <c r="F28" s="5"/>
      <c r="G28" s="5"/>
      <c r="H28" s="5"/>
      <c r="I28" s="5"/>
      <c r="J28" s="39"/>
      <c r="K28" s="39"/>
      <c r="L28" s="39"/>
      <c r="M28" s="39"/>
      <c r="N28" s="5"/>
      <c r="O28" s="5"/>
      <c r="P28" s="5"/>
      <c r="Q28" s="5"/>
      <c r="R28" s="5"/>
    </row>
    <row r="29" spans="1:18" s="37" customFormat="1">
      <c r="A29" s="5"/>
      <c r="B29" s="5"/>
      <c r="C29" s="5"/>
      <c r="D29" s="5"/>
      <c r="E29" s="5"/>
      <c r="F29" s="5"/>
      <c r="G29" s="5"/>
      <c r="H29" s="5"/>
      <c r="I29" s="5"/>
      <c r="J29" s="39"/>
      <c r="K29" s="39"/>
      <c r="L29" s="39"/>
      <c r="M29" s="39"/>
      <c r="N29" s="5"/>
      <c r="O29" s="5"/>
      <c r="P29" s="5"/>
      <c r="Q29" s="5"/>
      <c r="R29" s="5"/>
    </row>
    <row r="30" spans="1:18" s="37" customFormat="1">
      <c r="A30" s="5"/>
      <c r="B30" s="5"/>
      <c r="C30" s="5"/>
      <c r="D30" s="5"/>
      <c r="E30" s="5"/>
      <c r="F30" s="5"/>
      <c r="G30" s="5"/>
      <c r="H30" s="5"/>
      <c r="I30" s="5"/>
      <c r="J30" s="39"/>
      <c r="K30" s="39"/>
      <c r="L30" s="39"/>
      <c r="M30" s="39"/>
      <c r="N30" s="5"/>
      <c r="O30" s="5"/>
      <c r="P30" s="5"/>
      <c r="Q30" s="5"/>
      <c r="R30" s="5"/>
    </row>
    <row r="31" spans="1:18" s="37" customFormat="1">
      <c r="A31" s="5"/>
      <c r="B31" s="5"/>
      <c r="C31" s="5"/>
      <c r="D31" s="5"/>
      <c r="E31" s="5"/>
      <c r="F31" s="5"/>
      <c r="G31" s="5"/>
      <c r="H31" s="5"/>
      <c r="I31" s="5"/>
      <c r="J31" s="39"/>
      <c r="K31" s="39"/>
      <c r="L31" s="39"/>
      <c r="M31" s="39"/>
      <c r="N31" s="5"/>
      <c r="O31" s="5"/>
      <c r="P31" s="5"/>
      <c r="Q31" s="5"/>
      <c r="R31" s="5"/>
    </row>
    <row r="32" spans="1:18" s="37" customFormat="1">
      <c r="A32" s="5"/>
      <c r="B32" s="5"/>
      <c r="C32" s="5"/>
      <c r="D32" s="5"/>
      <c r="E32" s="5"/>
      <c r="F32" s="5"/>
      <c r="G32" s="5"/>
      <c r="H32" s="5"/>
      <c r="I32" s="5"/>
      <c r="J32" s="39"/>
      <c r="K32" s="39"/>
      <c r="L32" s="39"/>
      <c r="M32" s="39"/>
      <c r="N32" s="5"/>
      <c r="O32" s="5"/>
      <c r="P32" s="5"/>
      <c r="Q32" s="5"/>
      <c r="R32" s="5"/>
    </row>
    <row r="35" spans="1:18" s="37" customFormat="1">
      <c r="A35" s="204"/>
      <c r="B35" s="204"/>
      <c r="C35" s="204"/>
      <c r="D35" s="204"/>
      <c r="E35" s="204"/>
      <c r="F35" s="204"/>
      <c r="G35" s="204"/>
      <c r="H35" s="204"/>
      <c r="I35" s="204"/>
      <c r="J35" s="204"/>
      <c r="K35" s="204"/>
      <c r="L35" s="204"/>
      <c r="M35" s="204"/>
      <c r="N35" s="204"/>
      <c r="O35" s="204"/>
      <c r="P35" s="196"/>
      <c r="Q35" s="196"/>
      <c r="R35" s="196"/>
    </row>
    <row r="36" spans="1:18" s="37" customFormat="1">
      <c r="A36" s="205"/>
      <c r="B36" s="205"/>
      <c r="C36" s="205"/>
      <c r="D36" s="205"/>
      <c r="E36" s="205"/>
      <c r="F36" s="205"/>
      <c r="G36" s="205"/>
      <c r="H36" s="205"/>
      <c r="I36" s="205"/>
      <c r="J36" s="205"/>
      <c r="K36" s="205"/>
      <c r="L36" s="205"/>
      <c r="M36" s="205"/>
      <c r="N36" s="205"/>
      <c r="O36" s="205"/>
      <c r="P36" s="196"/>
      <c r="Q36" s="196"/>
      <c r="R36" s="196"/>
    </row>
    <row r="37" spans="1:18" s="37" customFormat="1">
      <c r="A37" s="5"/>
      <c r="B37" s="5"/>
      <c r="C37" s="5"/>
      <c r="D37" s="5"/>
      <c r="E37" s="5"/>
      <c r="F37" s="5"/>
      <c r="G37" s="5"/>
      <c r="H37" s="5"/>
      <c r="I37" s="5"/>
      <c r="J37" s="5"/>
      <c r="K37" s="5"/>
      <c r="L37" s="5"/>
      <c r="M37" s="5"/>
      <c r="N37" s="5"/>
      <c r="O37" s="5"/>
      <c r="P37" s="195"/>
      <c r="Q37" s="196"/>
      <c r="R37" s="196"/>
    </row>
  </sheetData>
  <mergeCells count="13">
    <mergeCell ref="P37:R37"/>
    <mergeCell ref="A1:B3"/>
    <mergeCell ref="L2:R2"/>
    <mergeCell ref="B5:C5"/>
    <mergeCell ref="C17:Q17"/>
    <mergeCell ref="C19:Q19"/>
    <mergeCell ref="B23:Q23"/>
    <mergeCell ref="C15:Q15"/>
    <mergeCell ref="B25:Q25"/>
    <mergeCell ref="A35:O35"/>
    <mergeCell ref="P35:R35"/>
    <mergeCell ref="A36:O36"/>
    <mergeCell ref="P36:R36"/>
  </mergeCells>
  <dataValidations count="2">
    <dataValidation type="list" allowBlank="1" showInputMessage="1" showErrorMessage="1" sqref="C8" xr:uid="{E26849CD-9466-4077-9B9B-338DE442521D}">
      <formula1>"Unpriced, Priced"</formula1>
    </dataValidation>
    <dataValidation type="list" allowBlank="1" showInputMessage="1" showErrorMessage="1" sqref="C7" xr:uid="{579E8F81-CB73-460F-B126-07246BB68141}">
      <formula1>"Non Binding, Binding, Budgetary"</formula1>
    </dataValidation>
  </dataValidations>
  <printOptions horizontalCentered="1"/>
  <pageMargins left="0.19685039370078741" right="0.19685039370078741" top="0.39370078740157483" bottom="0.39370078740157483" header="0.19685039370078741" footer="0.19685039370078741"/>
  <pageSetup paperSize="9" scale="71" orientation="portrait" r:id="rId1"/>
  <headerFooter alignWithMargins="0">
    <oddFooter>&amp;C&amp;"Candara,Bold"&amp;11&amp;K0000FFModAE India Private Limited
7th Floor, Commerce Mantri, 12, 1 &amp; 2, Bannerghatta Road, BTM Layout, 2nd Stage, BTM Layout,  Bangalore, Karnataka 560 076
CIN: U62099KA2024PTC185715, GST: 29AARCM8622J1ZQ</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BCD15-DCD2-43F0-B291-5CDF977579EF}">
  <sheetPr>
    <pageSetUpPr fitToPage="1"/>
  </sheetPr>
  <dimension ref="B1:Q24"/>
  <sheetViews>
    <sheetView showGridLines="0" view="pageBreakPreview" topLeftCell="C1" zoomScale="80" zoomScaleSheetLayoutView="80" workbookViewId="0">
      <selection activeCell="K32" sqref="K32"/>
    </sheetView>
  </sheetViews>
  <sheetFormatPr defaultColWidth="8" defaultRowHeight="16.05" customHeight="1"/>
  <cols>
    <col min="1" max="1" width="2.6640625" style="21" customWidth="1"/>
    <col min="2" max="2" width="6.5546875" style="22" bestFit="1" customWidth="1"/>
    <col min="3" max="3" width="36.33203125" style="22" bestFit="1" customWidth="1"/>
    <col min="4" max="4" width="60.77734375" style="22" customWidth="1"/>
    <col min="5" max="5" width="22.88671875" style="21" customWidth="1"/>
    <col min="6" max="6" width="13.109375" style="21" bestFit="1" customWidth="1"/>
    <col min="7" max="7" width="15.88671875" style="21" customWidth="1"/>
    <col min="8" max="9" width="2.6640625" style="21" customWidth="1"/>
    <col min="10" max="11" width="8.77734375" style="22" customWidth="1"/>
    <col min="12" max="12" width="13.6640625" style="21" bestFit="1" customWidth="1"/>
    <col min="13" max="13" width="6" style="21" bestFit="1" customWidth="1"/>
    <col min="14" max="14" width="4.6640625" style="30" customWidth="1"/>
    <col min="15" max="15" width="8" style="21"/>
    <col min="16" max="16" width="40.5546875" style="21" bestFit="1" customWidth="1"/>
    <col min="17" max="17" width="0" style="21" hidden="1" customWidth="1"/>
    <col min="18" max="18" width="10.109375" style="21" customWidth="1"/>
    <col min="19" max="16384" width="8" style="21"/>
  </cols>
  <sheetData>
    <row r="1" spans="2:17" s="19" customFormat="1" ht="16.05" customHeight="1">
      <c r="B1" s="18"/>
      <c r="C1" s="18"/>
      <c r="D1" s="18"/>
      <c r="H1" s="20"/>
      <c r="I1" s="20"/>
      <c r="J1" s="88"/>
      <c r="K1" s="88"/>
      <c r="L1" s="20"/>
      <c r="M1" s="20"/>
    </row>
    <row r="2" spans="2:17" s="19" customFormat="1" ht="16.05" customHeight="1">
      <c r="B2" s="18"/>
      <c r="C2" s="18"/>
      <c r="D2" s="18"/>
      <c r="H2" s="20"/>
      <c r="I2" s="20"/>
      <c r="J2" s="88"/>
      <c r="K2" s="88"/>
      <c r="L2" s="20"/>
      <c r="M2" s="20"/>
    </row>
    <row r="3" spans="2:17" s="19" customFormat="1" ht="16.05" customHeight="1">
      <c r="B3" s="18"/>
      <c r="C3" s="18"/>
      <c r="D3" s="18"/>
      <c r="G3" s="82" t="s">
        <v>0</v>
      </c>
      <c r="H3" s="64"/>
      <c r="I3" s="64"/>
      <c r="J3" s="81"/>
      <c r="K3" s="81"/>
      <c r="L3" s="64"/>
      <c r="M3" s="64"/>
      <c r="N3" s="64"/>
      <c r="O3" s="64"/>
    </row>
    <row r="4" spans="2:17" s="19" customFormat="1" ht="16.05" customHeight="1">
      <c r="B4" s="18"/>
      <c r="C4" s="18"/>
      <c r="D4" s="18"/>
      <c r="H4" s="20"/>
      <c r="I4" s="20"/>
      <c r="J4" s="88"/>
      <c r="K4" s="88"/>
      <c r="L4" s="20"/>
      <c r="M4" s="20"/>
    </row>
    <row r="5" spans="2:17" s="19" customFormat="1" ht="16.05" customHeight="1" thickBot="1">
      <c r="B5" s="18"/>
      <c r="C5" s="18"/>
      <c r="D5" s="18"/>
      <c r="H5" s="20"/>
      <c r="I5" s="20"/>
      <c r="J5" s="88"/>
      <c r="K5" s="88"/>
      <c r="L5" s="20"/>
      <c r="M5" s="20"/>
    </row>
    <row r="6" spans="2:17" s="19" customFormat="1" ht="16.05" customHeight="1">
      <c r="B6" s="210" t="s">
        <v>225</v>
      </c>
      <c r="C6" s="211"/>
      <c r="D6" s="211"/>
      <c r="E6" s="211"/>
      <c r="F6" s="211"/>
      <c r="G6" s="212"/>
      <c r="H6" s="20"/>
      <c r="I6" s="20"/>
      <c r="J6" s="88"/>
      <c r="K6" s="88"/>
      <c r="L6" s="20"/>
      <c r="M6" s="20"/>
    </row>
    <row r="7" spans="2:17" ht="16.05" customHeight="1" thickBot="1">
      <c r="B7" s="124" t="s">
        <v>12</v>
      </c>
      <c r="C7" s="125" t="s">
        <v>13</v>
      </c>
      <c r="D7" s="126" t="s">
        <v>14</v>
      </c>
      <c r="E7" s="126" t="s">
        <v>196</v>
      </c>
      <c r="F7" s="126" t="s">
        <v>121</v>
      </c>
      <c r="G7" s="127" t="s">
        <v>101</v>
      </c>
      <c r="J7" s="90" t="s">
        <v>162</v>
      </c>
      <c r="K7" s="90" t="s">
        <v>163</v>
      </c>
      <c r="L7" s="90" t="s">
        <v>164</v>
      </c>
      <c r="N7" s="85">
        <f>SUMIF(D8:D22,P7,F8:F22)</f>
        <v>9</v>
      </c>
      <c r="O7" s="85" t="s">
        <v>122</v>
      </c>
      <c r="P7" s="86" t="str">
        <f>D8</f>
        <v>Proximity Transducer (Non-Contact Type)</v>
      </c>
      <c r="Q7" s="23" t="s">
        <v>15</v>
      </c>
    </row>
    <row r="8" spans="2:17" ht="16.05" customHeight="1" thickTop="1">
      <c r="B8" s="115">
        <v>1</v>
      </c>
      <c r="C8" s="32" t="s">
        <v>109</v>
      </c>
      <c r="D8" s="60" t="s">
        <v>103</v>
      </c>
      <c r="E8" s="24" t="s">
        <v>104</v>
      </c>
      <c r="F8" s="24">
        <v>2</v>
      </c>
      <c r="G8" s="116">
        <f>F8*7</f>
        <v>14</v>
      </c>
      <c r="J8" s="208">
        <v>1</v>
      </c>
      <c r="K8" s="89">
        <f>2*F8</f>
        <v>4</v>
      </c>
      <c r="L8" s="207">
        <f>ROUNDUP(((SUM(K8:K10))/8),0)</f>
        <v>1</v>
      </c>
      <c r="N8" s="85">
        <f>SUMIF(D8:D22,P8,F8:F22)</f>
        <v>16</v>
      </c>
      <c r="O8" s="85" t="s">
        <v>123</v>
      </c>
      <c r="P8" s="86" t="str">
        <f>D9</f>
        <v>Accelerometer (Velocity Integrated, Contact Type)</v>
      </c>
      <c r="Q8" s="25" t="e">
        <f>#REF!</f>
        <v>#REF!</v>
      </c>
    </row>
    <row r="9" spans="2:17" ht="16.05" customHeight="1">
      <c r="B9" s="117">
        <v>2</v>
      </c>
      <c r="C9" s="68" t="s">
        <v>110</v>
      </c>
      <c r="D9" s="62" t="s">
        <v>106</v>
      </c>
      <c r="E9" s="61" t="s">
        <v>105</v>
      </c>
      <c r="F9" s="61">
        <v>2</v>
      </c>
      <c r="G9" s="116">
        <f t="shared" ref="G9:G22" si="0">F9*7</f>
        <v>14</v>
      </c>
      <c r="J9" s="213"/>
      <c r="K9" s="67">
        <f>1*F9</f>
        <v>2</v>
      </c>
      <c r="L9" s="207"/>
      <c r="N9" s="85">
        <f>SUMIF(D8:D22,P9,F8:F22)</f>
        <v>8</v>
      </c>
      <c r="O9" s="85" t="s">
        <v>124</v>
      </c>
      <c r="P9" s="86" t="str">
        <f>D22</f>
        <v>Capacitive Type Air Gap Sensor</v>
      </c>
      <c r="Q9" s="25"/>
    </row>
    <row r="10" spans="2:17" ht="16.05" customHeight="1">
      <c r="B10" s="115">
        <v>3</v>
      </c>
      <c r="C10" s="68" t="s">
        <v>71</v>
      </c>
      <c r="D10" s="62" t="s">
        <v>106</v>
      </c>
      <c r="E10" s="61" t="s">
        <v>107</v>
      </c>
      <c r="F10" s="61">
        <v>1</v>
      </c>
      <c r="G10" s="116">
        <f t="shared" si="0"/>
        <v>7</v>
      </c>
      <c r="J10" s="213"/>
      <c r="K10" s="67">
        <f>1*F10</f>
        <v>1</v>
      </c>
      <c r="L10" s="208"/>
      <c r="N10" s="85">
        <f>SUM(N7:N9)</f>
        <v>33</v>
      </c>
      <c r="O10" s="85" t="s">
        <v>125</v>
      </c>
      <c r="P10" s="86"/>
      <c r="Q10" s="25"/>
    </row>
    <row r="11" spans="2:17" ht="16.05" customHeight="1">
      <c r="B11" s="117">
        <v>4</v>
      </c>
      <c r="C11" s="68" t="s">
        <v>109</v>
      </c>
      <c r="D11" s="62" t="s">
        <v>103</v>
      </c>
      <c r="E11" s="61" t="s">
        <v>108</v>
      </c>
      <c r="F11" s="61">
        <v>2</v>
      </c>
      <c r="G11" s="116">
        <f t="shared" si="0"/>
        <v>14</v>
      </c>
      <c r="J11" s="213">
        <v>2</v>
      </c>
      <c r="K11" s="67">
        <f>2*F11</f>
        <v>4</v>
      </c>
      <c r="L11" s="209">
        <f>ROUNDUP(((SUM(K11:K14))/8),0)</f>
        <v>2</v>
      </c>
      <c r="N11" s="22"/>
      <c r="Q11" s="25"/>
    </row>
    <row r="12" spans="2:17" ht="16.05" customHeight="1">
      <c r="B12" s="115">
        <v>5</v>
      </c>
      <c r="C12" s="68" t="s">
        <v>102</v>
      </c>
      <c r="D12" s="84" t="s">
        <v>103</v>
      </c>
      <c r="E12" s="61" t="s">
        <v>56</v>
      </c>
      <c r="F12" s="61">
        <v>1</v>
      </c>
      <c r="G12" s="116">
        <f t="shared" si="0"/>
        <v>7</v>
      </c>
      <c r="J12" s="213"/>
      <c r="K12" s="67">
        <f t="shared" ref="K12" si="1">2*F12</f>
        <v>2</v>
      </c>
      <c r="L12" s="207"/>
      <c r="N12" s="22"/>
      <c r="Q12" s="25"/>
    </row>
    <row r="13" spans="2:17" ht="16.05" customHeight="1">
      <c r="B13" s="117">
        <v>6</v>
      </c>
      <c r="C13" s="68" t="s">
        <v>110</v>
      </c>
      <c r="D13" s="62" t="s">
        <v>106</v>
      </c>
      <c r="E13" s="61" t="s">
        <v>111</v>
      </c>
      <c r="F13" s="61">
        <v>2</v>
      </c>
      <c r="G13" s="116">
        <f t="shared" si="0"/>
        <v>14</v>
      </c>
      <c r="J13" s="213"/>
      <c r="K13" s="67">
        <f>1*F13</f>
        <v>2</v>
      </c>
      <c r="L13" s="207"/>
      <c r="N13" s="22"/>
      <c r="Q13" s="25"/>
    </row>
    <row r="14" spans="2:17" ht="16.05" customHeight="1">
      <c r="B14" s="115">
        <v>7</v>
      </c>
      <c r="C14" s="68" t="s">
        <v>71</v>
      </c>
      <c r="D14" s="62" t="s">
        <v>106</v>
      </c>
      <c r="E14" s="61" t="s">
        <v>112</v>
      </c>
      <c r="F14" s="61">
        <v>3</v>
      </c>
      <c r="G14" s="116">
        <f t="shared" si="0"/>
        <v>21</v>
      </c>
      <c r="J14" s="213"/>
      <c r="K14" s="67">
        <f>1*F14</f>
        <v>3</v>
      </c>
      <c r="L14" s="208"/>
      <c r="N14" s="22"/>
      <c r="Q14" s="25"/>
    </row>
    <row r="15" spans="2:17" ht="16.05" customHeight="1">
      <c r="B15" s="117">
        <v>8</v>
      </c>
      <c r="C15" s="83" t="s">
        <v>109</v>
      </c>
      <c r="D15" s="62" t="s">
        <v>103</v>
      </c>
      <c r="E15" s="61" t="s">
        <v>113</v>
      </c>
      <c r="F15" s="61">
        <v>2</v>
      </c>
      <c r="G15" s="116">
        <f t="shared" si="0"/>
        <v>14</v>
      </c>
      <c r="J15" s="209">
        <v>3</v>
      </c>
      <c r="K15" s="67">
        <f>2*F15</f>
        <v>4</v>
      </c>
      <c r="L15" s="209">
        <f>ROUNDUP(((SUM(K15:K17))/8),0)</f>
        <v>1</v>
      </c>
      <c r="N15" s="22"/>
      <c r="Q15" s="25"/>
    </row>
    <row r="16" spans="2:17" ht="16.05" customHeight="1">
      <c r="B16" s="115">
        <v>9</v>
      </c>
      <c r="C16" s="68" t="s">
        <v>110</v>
      </c>
      <c r="D16" s="62" t="s">
        <v>106</v>
      </c>
      <c r="E16" s="61" t="s">
        <v>114</v>
      </c>
      <c r="F16" s="61">
        <v>2</v>
      </c>
      <c r="G16" s="116">
        <f t="shared" si="0"/>
        <v>14</v>
      </c>
      <c r="J16" s="207"/>
      <c r="K16" s="67">
        <f>1*F16</f>
        <v>2</v>
      </c>
      <c r="L16" s="207"/>
      <c r="N16" s="22"/>
      <c r="Q16" s="25"/>
    </row>
    <row r="17" spans="2:17" ht="16.05" customHeight="1">
      <c r="B17" s="117">
        <v>10</v>
      </c>
      <c r="C17" s="68" t="s">
        <v>71</v>
      </c>
      <c r="D17" s="62" t="s">
        <v>106</v>
      </c>
      <c r="E17" s="61" t="s">
        <v>115</v>
      </c>
      <c r="F17" s="61">
        <v>1</v>
      </c>
      <c r="G17" s="116">
        <f t="shared" si="0"/>
        <v>7</v>
      </c>
      <c r="J17" s="208"/>
      <c r="K17" s="67">
        <f>1*F17</f>
        <v>1</v>
      </c>
      <c r="L17" s="208"/>
      <c r="N17" s="22"/>
      <c r="Q17" s="25"/>
    </row>
    <row r="18" spans="2:17" ht="16.05" customHeight="1">
      <c r="B18" s="115">
        <v>11</v>
      </c>
      <c r="C18" s="83" t="s">
        <v>109</v>
      </c>
      <c r="D18" s="62" t="s">
        <v>103</v>
      </c>
      <c r="E18" s="61" t="s">
        <v>116</v>
      </c>
      <c r="F18" s="61">
        <v>2</v>
      </c>
      <c r="G18" s="116">
        <f t="shared" si="0"/>
        <v>14</v>
      </c>
      <c r="J18" s="209">
        <v>4</v>
      </c>
      <c r="K18" s="67">
        <f>2*F18</f>
        <v>4</v>
      </c>
      <c r="L18" s="209">
        <f>ROUNDUP(((SUM(K18:K20))/8),0)</f>
        <v>1</v>
      </c>
      <c r="N18" s="22"/>
      <c r="Q18" s="25"/>
    </row>
    <row r="19" spans="2:17" ht="16.05" customHeight="1">
      <c r="B19" s="117">
        <v>12</v>
      </c>
      <c r="C19" s="68" t="s">
        <v>110</v>
      </c>
      <c r="D19" s="62" t="s">
        <v>106</v>
      </c>
      <c r="E19" s="61" t="s">
        <v>117</v>
      </c>
      <c r="F19" s="61">
        <v>2</v>
      </c>
      <c r="G19" s="116">
        <f t="shared" si="0"/>
        <v>14</v>
      </c>
      <c r="J19" s="207"/>
      <c r="K19" s="67">
        <f>1*F19</f>
        <v>2</v>
      </c>
      <c r="L19" s="207"/>
      <c r="N19" s="22"/>
      <c r="Q19" s="25"/>
    </row>
    <row r="20" spans="2:17" ht="16.05" customHeight="1">
      <c r="B20" s="115">
        <v>13</v>
      </c>
      <c r="C20" s="68" t="s">
        <v>71</v>
      </c>
      <c r="D20" s="62" t="s">
        <v>106</v>
      </c>
      <c r="E20" s="61" t="s">
        <v>118</v>
      </c>
      <c r="F20" s="61">
        <v>1</v>
      </c>
      <c r="G20" s="116">
        <f t="shared" si="0"/>
        <v>7</v>
      </c>
      <c r="J20" s="208"/>
      <c r="K20" s="67">
        <f>1*F20</f>
        <v>1</v>
      </c>
      <c r="L20" s="208"/>
      <c r="N20" s="22"/>
      <c r="Q20" s="25"/>
    </row>
    <row r="21" spans="2:17" ht="16.05" customHeight="1">
      <c r="B21" s="117">
        <v>14</v>
      </c>
      <c r="C21" s="68" t="s">
        <v>110</v>
      </c>
      <c r="D21" s="62" t="s">
        <v>106</v>
      </c>
      <c r="E21" s="61" t="s">
        <v>119</v>
      </c>
      <c r="F21" s="61">
        <v>2</v>
      </c>
      <c r="G21" s="116">
        <f t="shared" si="0"/>
        <v>14</v>
      </c>
      <c r="J21" s="67">
        <v>5</v>
      </c>
      <c r="K21" s="67">
        <f>1*F21</f>
        <v>2</v>
      </c>
      <c r="L21" s="67">
        <f>ROUNDUP(((SUM(K21:K21))/8),0)</f>
        <v>1</v>
      </c>
      <c r="N21" s="22"/>
      <c r="Q21" s="25"/>
    </row>
    <row r="22" spans="2:17" ht="16.05" customHeight="1" thickBot="1">
      <c r="B22" s="118">
        <v>15</v>
      </c>
      <c r="C22" s="33" t="s">
        <v>70</v>
      </c>
      <c r="D22" s="69" t="s">
        <v>120</v>
      </c>
      <c r="E22" s="26" t="s">
        <v>69</v>
      </c>
      <c r="F22" s="26">
        <v>8</v>
      </c>
      <c r="G22" s="119">
        <f t="shared" si="0"/>
        <v>56</v>
      </c>
      <c r="J22" s="69" t="s">
        <v>166</v>
      </c>
      <c r="K22" s="69">
        <f>2*F22</f>
        <v>16</v>
      </c>
      <c r="L22" s="69">
        <f>ROUNDUP(((SUM(K22:K22))/8),0)</f>
        <v>2</v>
      </c>
      <c r="N22" s="22"/>
      <c r="Q22" s="25"/>
    </row>
    <row r="23" spans="2:17" ht="16.05" customHeight="1" thickTop="1" thickBot="1">
      <c r="B23" s="128" t="s">
        <v>226</v>
      </c>
      <c r="C23" s="129"/>
      <c r="D23" s="129"/>
      <c r="E23" s="129"/>
      <c r="F23" s="130">
        <f>SUM(F8:F22)</f>
        <v>33</v>
      </c>
      <c r="G23" s="131">
        <f>SUM(G8:G22)</f>
        <v>231</v>
      </c>
      <c r="J23" s="206" t="s">
        <v>165</v>
      </c>
      <c r="K23" s="206"/>
      <c r="L23" s="63">
        <f>SUM(L8:L22)</f>
        <v>8</v>
      </c>
      <c r="M23" s="28">
        <f>L23*150</f>
        <v>1200</v>
      </c>
      <c r="N23" s="123" t="s">
        <v>199</v>
      </c>
      <c r="Q23" s="27"/>
    </row>
    <row r="24" spans="2:17" ht="16.05" customHeight="1">
      <c r="B24" s="28"/>
      <c r="C24" s="28"/>
      <c r="D24" s="29"/>
      <c r="E24" s="29"/>
      <c r="F24" s="29"/>
      <c r="G24" s="29"/>
      <c r="Q24" s="29"/>
    </row>
  </sheetData>
  <mergeCells count="10">
    <mergeCell ref="B6:G6"/>
    <mergeCell ref="J8:J10"/>
    <mergeCell ref="J11:J14"/>
    <mergeCell ref="J15:J17"/>
    <mergeCell ref="J18:J20"/>
    <mergeCell ref="J23:K23"/>
    <mergeCell ref="L8:L10"/>
    <mergeCell ref="L11:L14"/>
    <mergeCell ref="L15:L17"/>
    <mergeCell ref="L18:L20"/>
  </mergeCells>
  <phoneticPr fontId="103" type="noConversion"/>
  <printOptions horizontalCentered="1"/>
  <pageMargins left="0.19685039370078741" right="0.19685039370078741" top="0.19685039370078741" bottom="0.59055118110236227" header="0.39370078740157483" footer="0.39370078740157483"/>
  <pageSetup paperSize="9" scale="91" orientation="landscape" r:id="rId1"/>
  <ignoredErrors>
    <ignoredError sqref="K18 K15" formula="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9489A-7F4C-4DE3-8BF8-D0E6F70887F1}">
  <dimension ref="B1:U22"/>
  <sheetViews>
    <sheetView view="pageBreakPreview" zoomScaleNormal="100" zoomScaleSheetLayoutView="100" workbookViewId="0">
      <selection activeCell="T25" sqref="T25"/>
    </sheetView>
  </sheetViews>
  <sheetFormatPr defaultColWidth="9.33203125" defaultRowHeight="10.95" customHeight="1"/>
  <cols>
    <col min="1" max="1" width="2.6640625" style="6" customWidth="1"/>
    <col min="2" max="17" width="7.77734375" style="6" customWidth="1"/>
    <col min="18" max="19" width="2.6640625" style="6" customWidth="1"/>
    <col min="20" max="20" width="8" style="9" bestFit="1" customWidth="1"/>
    <col min="21" max="21" width="4.44140625" style="10" bestFit="1" customWidth="1"/>
    <col min="22" max="22" width="2.6640625" style="6" customWidth="1"/>
    <col min="23" max="16384" width="9.33203125" style="6"/>
  </cols>
  <sheetData>
    <row r="1" spans="2:21" ht="10.95" customHeight="1">
      <c r="S1" s="7"/>
      <c r="U1" s="11"/>
    </row>
    <row r="2" spans="2:21" ht="10.95" customHeight="1">
      <c r="S2" s="7"/>
      <c r="U2" s="11"/>
    </row>
    <row r="3" spans="2:21" ht="15.6">
      <c r="Q3" s="70" t="s">
        <v>0</v>
      </c>
      <c r="S3" s="7"/>
      <c r="U3" s="11"/>
    </row>
    <row r="4" spans="2:21" ht="10.95" customHeight="1">
      <c r="S4" s="7"/>
      <c r="U4" s="11"/>
    </row>
    <row r="5" spans="2:21" ht="10.95" customHeight="1">
      <c r="S5" s="7"/>
      <c r="U5" s="11"/>
    </row>
    <row r="6" spans="2:21" ht="15" customHeight="1" thickBot="1">
      <c r="B6" s="224" t="s">
        <v>227</v>
      </c>
      <c r="C6" s="225"/>
      <c r="D6" s="225"/>
      <c r="E6" s="225"/>
      <c r="F6" s="225"/>
      <c r="G6" s="225"/>
      <c r="H6" s="225"/>
      <c r="I6" s="225"/>
      <c r="J6" s="225"/>
      <c r="K6" s="225"/>
      <c r="L6" s="225"/>
      <c r="M6" s="225"/>
      <c r="N6" s="225"/>
      <c r="O6" s="225"/>
      <c r="P6" s="225"/>
      <c r="Q6" s="225"/>
      <c r="S6" s="8"/>
      <c r="U6" s="13"/>
    </row>
    <row r="7" spans="2:21" ht="10.95" customHeight="1" thickTop="1" thickBot="1">
      <c r="U7" s="11"/>
    </row>
    <row r="8" spans="2:21" ht="10.95" customHeight="1">
      <c r="B8" s="138">
        <v>1</v>
      </c>
      <c r="C8" s="139">
        <f t="shared" ref="C8:Q8" si="0">B8+1</f>
        <v>2</v>
      </c>
      <c r="D8" s="139">
        <f t="shared" si="0"/>
        <v>3</v>
      </c>
      <c r="E8" s="139">
        <f t="shared" si="0"/>
        <v>4</v>
      </c>
      <c r="F8" s="139">
        <f t="shared" si="0"/>
        <v>5</v>
      </c>
      <c r="G8" s="139">
        <f t="shared" si="0"/>
        <v>6</v>
      </c>
      <c r="H8" s="139">
        <f t="shared" si="0"/>
        <v>7</v>
      </c>
      <c r="I8" s="139">
        <f t="shared" si="0"/>
        <v>8</v>
      </c>
      <c r="J8" s="139">
        <f t="shared" si="0"/>
        <v>9</v>
      </c>
      <c r="K8" s="139">
        <f t="shared" si="0"/>
        <v>10</v>
      </c>
      <c r="L8" s="139">
        <f t="shared" si="0"/>
        <v>11</v>
      </c>
      <c r="M8" s="139">
        <f t="shared" si="0"/>
        <v>12</v>
      </c>
      <c r="N8" s="139">
        <f t="shared" si="0"/>
        <v>13</v>
      </c>
      <c r="O8" s="139">
        <f t="shared" si="0"/>
        <v>14</v>
      </c>
      <c r="P8" s="139">
        <f t="shared" si="0"/>
        <v>15</v>
      </c>
      <c r="Q8" s="140">
        <f t="shared" si="0"/>
        <v>16</v>
      </c>
    </row>
    <row r="9" spans="2:21" ht="10.95" customHeight="1">
      <c r="B9" s="141" t="s">
        <v>16</v>
      </c>
      <c r="C9" s="142" t="s">
        <v>57</v>
      </c>
      <c r="D9" s="142" t="s">
        <v>20</v>
      </c>
      <c r="E9" s="142" t="s">
        <v>19</v>
      </c>
      <c r="F9" s="142" t="s">
        <v>19</v>
      </c>
      <c r="G9" s="142" t="s">
        <v>19</v>
      </c>
      <c r="H9" s="142" t="s">
        <v>19</v>
      </c>
      <c r="I9" s="142" t="s">
        <v>19</v>
      </c>
      <c r="J9" s="142" t="s">
        <v>19</v>
      </c>
      <c r="K9" s="142" t="s">
        <v>19</v>
      </c>
      <c r="L9" s="142" t="s">
        <v>19</v>
      </c>
      <c r="M9" s="142" t="s">
        <v>19</v>
      </c>
      <c r="N9" s="142" t="s">
        <v>20</v>
      </c>
      <c r="O9" s="142" t="s">
        <v>20</v>
      </c>
      <c r="P9" s="142" t="s">
        <v>20</v>
      </c>
      <c r="Q9" s="143" t="s">
        <v>20</v>
      </c>
      <c r="T9" s="71" t="s">
        <v>16</v>
      </c>
      <c r="U9" s="72">
        <f>COUNTIF(B9:Q9,"RCM")</f>
        <v>1</v>
      </c>
    </row>
    <row r="10" spans="2:21" ht="10.95" customHeight="1">
      <c r="B10" s="226" t="s">
        <v>22</v>
      </c>
      <c r="C10" s="229" t="s">
        <v>23</v>
      </c>
      <c r="D10" s="220" t="s">
        <v>25</v>
      </c>
      <c r="E10" s="217" t="s">
        <v>24</v>
      </c>
      <c r="F10" s="217" t="s">
        <v>128</v>
      </c>
      <c r="G10" s="217" t="s">
        <v>132</v>
      </c>
      <c r="H10" s="217" t="s">
        <v>135</v>
      </c>
      <c r="I10" s="217" t="s">
        <v>139</v>
      </c>
      <c r="J10" s="217" t="s">
        <v>143</v>
      </c>
      <c r="K10" s="217" t="s">
        <v>127</v>
      </c>
      <c r="L10" s="214" t="s">
        <v>72</v>
      </c>
      <c r="M10" s="214" t="s">
        <v>76</v>
      </c>
      <c r="N10" s="220" t="s">
        <v>25</v>
      </c>
      <c r="O10" s="220" t="s">
        <v>25</v>
      </c>
      <c r="P10" s="220" t="s">
        <v>25</v>
      </c>
      <c r="Q10" s="232" t="s">
        <v>25</v>
      </c>
      <c r="T10" s="71" t="s">
        <v>21</v>
      </c>
      <c r="U10" s="72">
        <f>COUNTIF(B9:Q9,"PCM")</f>
        <v>0</v>
      </c>
    </row>
    <row r="11" spans="2:21" ht="10.95" customHeight="1">
      <c r="B11" s="227"/>
      <c r="C11" s="230"/>
      <c r="D11" s="221"/>
      <c r="E11" s="218"/>
      <c r="F11" s="218"/>
      <c r="G11" s="218"/>
      <c r="H11" s="218"/>
      <c r="I11" s="218"/>
      <c r="J11" s="218"/>
      <c r="K11" s="218"/>
      <c r="L11" s="215"/>
      <c r="M11" s="215"/>
      <c r="N11" s="221"/>
      <c r="O11" s="221"/>
      <c r="P11" s="221"/>
      <c r="Q11" s="233"/>
      <c r="T11" s="71" t="s">
        <v>17</v>
      </c>
      <c r="U11" s="73">
        <f>COUNTIF(B9:Q9,"eSAM")</f>
        <v>0</v>
      </c>
    </row>
    <row r="12" spans="2:21" ht="10.95" customHeight="1">
      <c r="B12" s="227"/>
      <c r="C12" s="230"/>
      <c r="D12" s="221"/>
      <c r="E12" s="218"/>
      <c r="F12" s="218"/>
      <c r="G12" s="218"/>
      <c r="H12" s="218"/>
      <c r="I12" s="218"/>
      <c r="J12" s="218"/>
      <c r="K12" s="218"/>
      <c r="L12" s="215"/>
      <c r="M12" s="215"/>
      <c r="N12" s="221"/>
      <c r="O12" s="221"/>
      <c r="P12" s="221"/>
      <c r="Q12" s="233"/>
      <c r="T12" s="71" t="s">
        <v>18</v>
      </c>
      <c r="U12" s="73">
        <f>COUNTIF(B9:Q9,"bSAM")</f>
        <v>0</v>
      </c>
    </row>
    <row r="13" spans="2:21" ht="10.95" customHeight="1">
      <c r="B13" s="227"/>
      <c r="C13" s="230"/>
      <c r="D13" s="221"/>
      <c r="E13" s="217" t="s">
        <v>24</v>
      </c>
      <c r="F13" s="217" t="s">
        <v>129</v>
      </c>
      <c r="G13" s="217" t="s">
        <v>126</v>
      </c>
      <c r="H13" s="217" t="s">
        <v>136</v>
      </c>
      <c r="I13" s="217" t="s">
        <v>140</v>
      </c>
      <c r="J13" s="217" t="s">
        <v>144</v>
      </c>
      <c r="K13" s="217" t="s">
        <v>147</v>
      </c>
      <c r="L13" s="220" t="s">
        <v>73</v>
      </c>
      <c r="M13" s="214" t="s">
        <v>77</v>
      </c>
      <c r="N13" s="221"/>
      <c r="O13" s="221"/>
      <c r="P13" s="221"/>
      <c r="Q13" s="233"/>
      <c r="T13" s="71" t="s">
        <v>19</v>
      </c>
      <c r="U13" s="73">
        <f>COUNTIF(B9:Q9,"UMM")</f>
        <v>9</v>
      </c>
    </row>
    <row r="14" spans="2:21" ht="10.95" customHeight="1">
      <c r="B14" s="227"/>
      <c r="C14" s="230"/>
      <c r="D14" s="221"/>
      <c r="E14" s="218"/>
      <c r="F14" s="218"/>
      <c r="G14" s="218"/>
      <c r="H14" s="218"/>
      <c r="I14" s="218"/>
      <c r="J14" s="218"/>
      <c r="K14" s="218"/>
      <c r="L14" s="221"/>
      <c r="M14" s="215"/>
      <c r="N14" s="221"/>
      <c r="O14" s="221"/>
      <c r="P14" s="221"/>
      <c r="Q14" s="233"/>
      <c r="T14" s="71" t="s">
        <v>26</v>
      </c>
      <c r="U14" s="74">
        <f>COUNTIF(B9:Q9,"TMM")</f>
        <v>0</v>
      </c>
    </row>
    <row r="15" spans="2:21" ht="10.95" customHeight="1">
      <c r="B15" s="227"/>
      <c r="C15" s="230"/>
      <c r="D15" s="221"/>
      <c r="E15" s="218"/>
      <c r="F15" s="218"/>
      <c r="G15" s="218"/>
      <c r="H15" s="218"/>
      <c r="I15" s="218"/>
      <c r="J15" s="218"/>
      <c r="K15" s="218"/>
      <c r="L15" s="222"/>
      <c r="M15" s="215"/>
      <c r="N15" s="221"/>
      <c r="O15" s="221"/>
      <c r="P15" s="221"/>
      <c r="Q15" s="233"/>
      <c r="U15" s="12"/>
    </row>
    <row r="16" spans="2:21" ht="10.95" customHeight="1">
      <c r="B16" s="227"/>
      <c r="C16" s="230"/>
      <c r="D16" s="221"/>
      <c r="E16" s="217" t="s">
        <v>24</v>
      </c>
      <c r="F16" s="217" t="s">
        <v>130</v>
      </c>
      <c r="G16" s="217" t="s">
        <v>133</v>
      </c>
      <c r="H16" s="217" t="s">
        <v>137</v>
      </c>
      <c r="I16" s="217" t="s">
        <v>141</v>
      </c>
      <c r="J16" s="217" t="s">
        <v>145</v>
      </c>
      <c r="K16" s="217" t="s">
        <v>148</v>
      </c>
      <c r="L16" s="220" t="s">
        <v>74</v>
      </c>
      <c r="M16" s="214" t="s">
        <v>78</v>
      </c>
      <c r="N16" s="221"/>
      <c r="O16" s="221"/>
      <c r="P16" s="221"/>
      <c r="Q16" s="233"/>
    </row>
    <row r="17" spans="2:21" ht="10.95" customHeight="1">
      <c r="B17" s="227"/>
      <c r="C17" s="230"/>
      <c r="D17" s="221"/>
      <c r="E17" s="218"/>
      <c r="F17" s="218"/>
      <c r="G17" s="218"/>
      <c r="H17" s="218"/>
      <c r="I17" s="218"/>
      <c r="J17" s="218"/>
      <c r="K17" s="218"/>
      <c r="L17" s="221"/>
      <c r="M17" s="215"/>
      <c r="N17" s="221"/>
      <c r="O17" s="221"/>
      <c r="P17" s="221"/>
      <c r="Q17" s="233"/>
      <c r="U17" s="12"/>
    </row>
    <row r="18" spans="2:21" ht="10.95" customHeight="1">
      <c r="B18" s="227"/>
      <c r="C18" s="230"/>
      <c r="D18" s="221"/>
      <c r="E18" s="218"/>
      <c r="F18" s="218"/>
      <c r="G18" s="218"/>
      <c r="H18" s="218"/>
      <c r="I18" s="218"/>
      <c r="J18" s="218"/>
      <c r="K18" s="218"/>
      <c r="L18" s="222"/>
      <c r="M18" s="215"/>
      <c r="N18" s="221"/>
      <c r="O18" s="221"/>
      <c r="P18" s="221"/>
      <c r="Q18" s="233"/>
    </row>
    <row r="19" spans="2:21" ht="10.95" customHeight="1">
      <c r="B19" s="227"/>
      <c r="C19" s="230"/>
      <c r="D19" s="221"/>
      <c r="E19" s="217" t="s">
        <v>150</v>
      </c>
      <c r="F19" s="217" t="s">
        <v>131</v>
      </c>
      <c r="G19" s="217" t="s">
        <v>134</v>
      </c>
      <c r="H19" s="217" t="s">
        <v>138</v>
      </c>
      <c r="I19" s="217" t="s">
        <v>142</v>
      </c>
      <c r="J19" s="217" t="s">
        <v>146</v>
      </c>
      <c r="K19" s="217" t="s">
        <v>149</v>
      </c>
      <c r="L19" s="220" t="s">
        <v>75</v>
      </c>
      <c r="M19" s="214" t="s">
        <v>79</v>
      </c>
      <c r="N19" s="221"/>
      <c r="O19" s="221"/>
      <c r="P19" s="221"/>
      <c r="Q19" s="233"/>
    </row>
    <row r="20" spans="2:21" ht="10.95" customHeight="1">
      <c r="B20" s="227"/>
      <c r="C20" s="230"/>
      <c r="D20" s="221"/>
      <c r="E20" s="218"/>
      <c r="F20" s="218"/>
      <c r="G20" s="218"/>
      <c r="H20" s="218"/>
      <c r="I20" s="218"/>
      <c r="J20" s="218"/>
      <c r="K20" s="218"/>
      <c r="L20" s="221"/>
      <c r="M20" s="215"/>
      <c r="N20" s="221"/>
      <c r="O20" s="221"/>
      <c r="P20" s="221"/>
      <c r="Q20" s="233"/>
      <c r="U20" s="12"/>
    </row>
    <row r="21" spans="2:21" ht="10.95" customHeight="1" thickBot="1">
      <c r="B21" s="228"/>
      <c r="C21" s="231"/>
      <c r="D21" s="223"/>
      <c r="E21" s="219"/>
      <c r="F21" s="219"/>
      <c r="G21" s="219"/>
      <c r="H21" s="219"/>
      <c r="I21" s="219"/>
      <c r="J21" s="219"/>
      <c r="K21" s="219"/>
      <c r="L21" s="223"/>
      <c r="M21" s="216"/>
      <c r="N21" s="223"/>
      <c r="O21" s="223"/>
      <c r="P21" s="223"/>
      <c r="Q21" s="234"/>
      <c r="U21" s="12"/>
    </row>
    <row r="22" spans="2:21" ht="10.95" customHeight="1">
      <c r="U22" s="12"/>
    </row>
  </sheetData>
  <mergeCells count="44">
    <mergeCell ref="P10:P21"/>
    <mergeCell ref="L16:L18"/>
    <mergeCell ref="L19:L21"/>
    <mergeCell ref="B6:Q6"/>
    <mergeCell ref="B10:B21"/>
    <mergeCell ref="C10:C21"/>
    <mergeCell ref="D10:D21"/>
    <mergeCell ref="E10:E12"/>
    <mergeCell ref="G10:G12"/>
    <mergeCell ref="H10:H12"/>
    <mergeCell ref="I10:I12"/>
    <mergeCell ref="K10:K12"/>
    <mergeCell ref="Q10:Q21"/>
    <mergeCell ref="E16:E18"/>
    <mergeCell ref="N10:N21"/>
    <mergeCell ref="O10:O21"/>
    <mergeCell ref="J13:J15"/>
    <mergeCell ref="J16:J18"/>
    <mergeCell ref="L10:L12"/>
    <mergeCell ref="G13:G15"/>
    <mergeCell ref="H13:H15"/>
    <mergeCell ref="I13:I15"/>
    <mergeCell ref="K13:K15"/>
    <mergeCell ref="G16:G18"/>
    <mergeCell ref="H16:H18"/>
    <mergeCell ref="I16:I18"/>
    <mergeCell ref="K16:K18"/>
    <mergeCell ref="L13:L15"/>
    <mergeCell ref="M10:M12"/>
    <mergeCell ref="M13:M15"/>
    <mergeCell ref="M16:M18"/>
    <mergeCell ref="M19:M21"/>
    <mergeCell ref="E13:E15"/>
    <mergeCell ref="E19:E21"/>
    <mergeCell ref="F10:F12"/>
    <mergeCell ref="F16:F18"/>
    <mergeCell ref="F19:F21"/>
    <mergeCell ref="G19:G21"/>
    <mergeCell ref="H19:H21"/>
    <mergeCell ref="I19:I21"/>
    <mergeCell ref="K19:K21"/>
    <mergeCell ref="J19:J21"/>
    <mergeCell ref="F13:F15"/>
    <mergeCell ref="J10:J12"/>
  </mergeCells>
  <phoneticPr fontId="103" type="noConversion"/>
  <printOptions horizontalCentered="1"/>
  <pageMargins left="0" right="0" top="0.19685039370078741" bottom="0" header="0" footer="0"/>
  <pageSetup paperSize="9" scale="110" orientation="landscape" r:id="rId1"/>
  <headerFooter>
    <oddFooter>&amp;C&amp;"Candara,Regular"Rack Layouts</oddFoot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CC500-2B37-486A-A64D-A987B94079A0}">
  <dimension ref="B1:V62"/>
  <sheetViews>
    <sheetView tabSelected="1" view="pageBreakPreview" zoomScale="80" zoomScaleNormal="100" zoomScaleSheetLayoutView="80" workbookViewId="0">
      <selection activeCell="J33" sqref="J33:J34"/>
      <extLst>
        <ext xmlns:xlsdti="http://schemas.microsoft.com/office/spreadsheetml/2023/showDataTypeIcons" uri="{77bfe23e-c014-4d31-8a63-9c772dbf06b6}">
          <xlsdti:showDataTypeIcons visible="0"/>
        </ext>
      </extLst>
    </sheetView>
  </sheetViews>
  <sheetFormatPr defaultColWidth="8.6640625" defaultRowHeight="16.05" customHeight="1"/>
  <cols>
    <col min="1" max="1" width="2.77734375" style="15" customWidth="1"/>
    <col min="2" max="2" width="9.77734375" style="14" customWidth="1"/>
    <col min="3" max="3" width="55.77734375" style="14" customWidth="1"/>
    <col min="4" max="4" width="71.77734375" style="14" customWidth="1"/>
    <col min="5" max="5" width="37" style="15" customWidth="1"/>
    <col min="6" max="9" width="12.77734375" style="15" customWidth="1"/>
    <col min="10" max="11" width="14.77734375" style="15" customWidth="1"/>
    <col min="12" max="13" width="2.77734375" style="15" customWidth="1"/>
    <col min="14" max="14" width="15.44140625" style="15" bestFit="1" customWidth="1"/>
    <col min="15" max="15" width="15.5546875" style="15" bestFit="1" customWidth="1"/>
    <col min="16" max="16" width="16.109375" style="15" bestFit="1" customWidth="1"/>
    <col min="17" max="17" width="16.33203125" style="15" bestFit="1" customWidth="1"/>
    <col min="18" max="18" width="16.88671875" style="15" bestFit="1" customWidth="1"/>
    <col min="19" max="19" width="16" style="15" bestFit="1" customWidth="1"/>
    <col min="20" max="20" width="2.77734375" style="15" customWidth="1"/>
    <col min="21" max="16384" width="8.6640625" style="15"/>
  </cols>
  <sheetData>
    <row r="1" spans="2:20" ht="16.05" customHeight="1">
      <c r="T1" s="92"/>
    </row>
    <row r="2" spans="2:20" ht="16.05" customHeight="1" thickBot="1">
      <c r="N2" s="190" t="s">
        <v>45</v>
      </c>
      <c r="O2" s="190"/>
      <c r="P2" s="190"/>
      <c r="Q2" s="190"/>
    </row>
    <row r="3" spans="2:20" ht="16.05" customHeight="1" thickTop="1">
      <c r="I3" s="108" t="s">
        <v>0</v>
      </c>
      <c r="N3" s="96" t="s">
        <v>46</v>
      </c>
      <c r="O3" s="97">
        <f>ROUNDUP(110.06971733+1,0)</f>
        <v>112</v>
      </c>
      <c r="P3" s="98" t="s">
        <v>179</v>
      </c>
      <c r="Q3" s="135"/>
    </row>
    <row r="4" spans="2:20" ht="16.05" customHeight="1">
      <c r="N4" s="100" t="s">
        <v>197</v>
      </c>
      <c r="O4" s="101">
        <f>8.5%+2.5%+5%</f>
        <v>0.16000000000000003</v>
      </c>
      <c r="P4" s="98" t="s">
        <v>213</v>
      </c>
      <c r="Q4" s="171"/>
      <c r="T4" s="113"/>
    </row>
    <row r="5" spans="2:20" ht="16.05" customHeight="1">
      <c r="N5" s="100" t="s">
        <v>48</v>
      </c>
      <c r="O5" s="101">
        <v>0.25</v>
      </c>
      <c r="P5" s="135" t="s">
        <v>202</v>
      </c>
      <c r="Q5" s="136"/>
      <c r="T5" s="154"/>
    </row>
    <row r="6" spans="2:20" ht="16.05" customHeight="1" thickBot="1">
      <c r="B6" s="191" t="s">
        <v>228</v>
      </c>
      <c r="C6" s="191"/>
      <c r="D6" s="191"/>
      <c r="E6" s="191"/>
      <c r="F6" s="191"/>
      <c r="G6" s="191"/>
      <c r="H6" s="191"/>
      <c r="I6" s="191"/>
      <c r="J6" s="191"/>
      <c r="K6" s="191"/>
      <c r="N6" s="100" t="s">
        <v>49</v>
      </c>
      <c r="O6" s="102">
        <f>ROUNDUP((O3*(1+O4)*(1-O5)),0)</f>
        <v>98</v>
      </c>
      <c r="P6" s="98" t="s">
        <v>58</v>
      </c>
      <c r="Q6" s="99"/>
      <c r="R6" s="105"/>
      <c r="S6" s="172"/>
    </row>
    <row r="7" spans="2:20" ht="16.05" customHeight="1" thickTop="1">
      <c r="N7" s="94" t="s">
        <v>47</v>
      </c>
      <c r="O7" s="137"/>
      <c r="P7" s="98" t="s">
        <v>204</v>
      </c>
      <c r="Q7" s="133"/>
      <c r="R7" s="185"/>
    </row>
    <row r="8" spans="2:20" ht="16.05" customHeight="1">
      <c r="B8" s="114" t="s">
        <v>151</v>
      </c>
      <c r="C8" s="120" t="s">
        <v>229</v>
      </c>
      <c r="D8" s="120"/>
      <c r="E8" s="120"/>
      <c r="F8" s="120"/>
      <c r="G8" s="120"/>
      <c r="H8" s="120"/>
      <c r="I8" s="120"/>
      <c r="J8" s="109"/>
      <c r="K8" s="109"/>
      <c r="O8" s="173"/>
    </row>
    <row r="9" spans="2:20" ht="16.05" customHeight="1" thickBot="1">
      <c r="B9" s="179" t="s">
        <v>12</v>
      </c>
      <c r="C9" s="179" t="s">
        <v>27</v>
      </c>
      <c r="D9" s="179" t="s">
        <v>28</v>
      </c>
      <c r="E9" s="179" t="s">
        <v>184</v>
      </c>
      <c r="F9" s="179" t="s">
        <v>121</v>
      </c>
      <c r="G9" s="179" t="s">
        <v>59</v>
      </c>
      <c r="H9" s="179" t="s">
        <v>152</v>
      </c>
      <c r="I9" s="179" t="s">
        <v>101</v>
      </c>
      <c r="J9" s="180" t="s">
        <v>10</v>
      </c>
      <c r="K9" s="179" t="s">
        <v>11</v>
      </c>
      <c r="N9" s="153" t="s">
        <v>10</v>
      </c>
      <c r="O9" s="153" t="s">
        <v>11</v>
      </c>
      <c r="P9" s="153" t="s">
        <v>50</v>
      </c>
      <c r="Q9" s="153" t="s">
        <v>51</v>
      </c>
      <c r="R9" s="153" t="s">
        <v>60</v>
      </c>
      <c r="S9" s="153" t="s">
        <v>61</v>
      </c>
      <c r="T9" s="154"/>
    </row>
    <row r="10" spans="2:20" ht="16.05" customHeight="1" thickTop="1">
      <c r="B10" s="35">
        <v>1</v>
      </c>
      <c r="C10" s="91" t="s">
        <v>103</v>
      </c>
      <c r="D10" s="91" t="s">
        <v>155</v>
      </c>
      <c r="E10" s="91" t="s">
        <v>170</v>
      </c>
      <c r="F10" s="35">
        <f>'Signal List'!N7</f>
        <v>9</v>
      </c>
      <c r="G10" s="35"/>
      <c r="H10" s="35">
        <v>4</v>
      </c>
      <c r="I10" s="35">
        <f>(F10*7)+G10+H10</f>
        <v>67</v>
      </c>
      <c r="J10" s="176">
        <f>N10</f>
        <v>0</v>
      </c>
      <c r="K10" s="181">
        <f>J10*I10</f>
        <v>0</v>
      </c>
      <c r="N10" s="121">
        <f>P10/0.4</f>
        <v>0</v>
      </c>
      <c r="O10" s="121">
        <f t="shared" ref="O10:O28" si="0">N10*I10</f>
        <v>0</v>
      </c>
      <c r="P10" s="121">
        <f>(R10)*O$6</f>
        <v>0</v>
      </c>
      <c r="Q10" s="121">
        <f t="shared" ref="Q10:Q28" si="1">P10*I10</f>
        <v>0</v>
      </c>
      <c r="R10" s="156"/>
      <c r="S10" s="156">
        <f t="shared" ref="S10:S28" si="2">R10*I10</f>
        <v>0</v>
      </c>
    </row>
    <row r="11" spans="2:20" ht="16.05" customHeight="1">
      <c r="B11" s="17">
        <v>2</v>
      </c>
      <c r="C11" s="16" t="s">
        <v>106</v>
      </c>
      <c r="D11" s="16" t="s">
        <v>156</v>
      </c>
      <c r="E11" s="16" t="s">
        <v>178</v>
      </c>
      <c r="F11" s="17">
        <f>'Signal List'!N8</f>
        <v>16</v>
      </c>
      <c r="G11" s="17"/>
      <c r="H11" s="17">
        <v>4</v>
      </c>
      <c r="I11" s="35">
        <f>(F11*7)+G11+H11</f>
        <v>116</v>
      </c>
      <c r="J11" s="176">
        <f>N11</f>
        <v>0</v>
      </c>
      <c r="K11" s="181">
        <f t="shared" ref="K11:K28" si="3">J11*I11</f>
        <v>0</v>
      </c>
      <c r="N11" s="121">
        <f t="shared" ref="N11:N28" si="4">P11/0.4</f>
        <v>0</v>
      </c>
      <c r="O11" s="121">
        <f t="shared" si="0"/>
        <v>0</v>
      </c>
      <c r="P11" s="121">
        <f>(R11)*O$6</f>
        <v>0</v>
      </c>
      <c r="Q11" s="121">
        <f t="shared" si="1"/>
        <v>0</v>
      </c>
      <c r="R11" s="155"/>
      <c r="S11" s="156">
        <f t="shared" si="2"/>
        <v>0</v>
      </c>
    </row>
    <row r="12" spans="2:20" ht="16.05" customHeight="1">
      <c r="B12" s="17">
        <v>3</v>
      </c>
      <c r="C12" s="16" t="s">
        <v>120</v>
      </c>
      <c r="D12" s="16" t="s">
        <v>81</v>
      </c>
      <c r="E12" s="34" t="s">
        <v>195</v>
      </c>
      <c r="F12" s="17">
        <f>'Signal List'!N9</f>
        <v>8</v>
      </c>
      <c r="G12" s="17"/>
      <c r="H12" s="17">
        <v>4</v>
      </c>
      <c r="I12" s="35">
        <f t="shared" ref="I12:I28" si="5">(F12*7)+G12+H12</f>
        <v>60</v>
      </c>
      <c r="J12" s="176">
        <f t="shared" ref="J12:J28" si="6">N12</f>
        <v>0</v>
      </c>
      <c r="K12" s="181">
        <f t="shared" si="3"/>
        <v>0</v>
      </c>
      <c r="N12" s="103">
        <f t="shared" si="4"/>
        <v>0</v>
      </c>
      <c r="O12" s="103">
        <f t="shared" si="0"/>
        <v>0</v>
      </c>
      <c r="P12" s="103">
        <f>(R12)*O$3*(1+O$4)</f>
        <v>0</v>
      </c>
      <c r="Q12" s="103">
        <f t="shared" si="1"/>
        <v>0</v>
      </c>
      <c r="R12" s="104"/>
      <c r="S12" s="107">
        <f t="shared" si="2"/>
        <v>0</v>
      </c>
    </row>
    <row r="13" spans="2:20" ht="16.05" customHeight="1">
      <c r="B13" s="193">
        <v>4</v>
      </c>
      <c r="C13" s="194" t="s">
        <v>183</v>
      </c>
      <c r="D13" s="16" t="s">
        <v>29</v>
      </c>
      <c r="E13" s="16" t="s">
        <v>171</v>
      </c>
      <c r="F13" s="17">
        <v>1</v>
      </c>
      <c r="G13" s="17"/>
      <c r="H13" s="17"/>
      <c r="I13" s="35">
        <f t="shared" si="5"/>
        <v>7</v>
      </c>
      <c r="J13" s="176">
        <f t="shared" si="6"/>
        <v>0</v>
      </c>
      <c r="K13" s="181">
        <f t="shared" si="3"/>
        <v>0</v>
      </c>
      <c r="N13" s="121">
        <f t="shared" si="4"/>
        <v>0</v>
      </c>
      <c r="O13" s="121">
        <f t="shared" si="0"/>
        <v>0</v>
      </c>
      <c r="P13" s="121">
        <f t="shared" ref="P13:P18" si="7">(R13)*O$6</f>
        <v>0</v>
      </c>
      <c r="Q13" s="121">
        <f t="shared" si="1"/>
        <v>0</v>
      </c>
      <c r="R13" s="155"/>
      <c r="S13" s="156">
        <f t="shared" si="2"/>
        <v>0</v>
      </c>
    </row>
    <row r="14" spans="2:20" ht="16.05" customHeight="1">
      <c r="B14" s="193"/>
      <c r="C14" s="194"/>
      <c r="D14" s="16" t="s">
        <v>30</v>
      </c>
      <c r="E14" s="16" t="s">
        <v>172</v>
      </c>
      <c r="F14" s="17">
        <f>F13</f>
        <v>1</v>
      </c>
      <c r="G14" s="17"/>
      <c r="H14" s="17"/>
      <c r="I14" s="35">
        <f t="shared" si="5"/>
        <v>7</v>
      </c>
      <c r="J14" s="176">
        <f t="shared" si="6"/>
        <v>0</v>
      </c>
      <c r="K14" s="181">
        <f t="shared" si="3"/>
        <v>0</v>
      </c>
      <c r="N14" s="121">
        <f t="shared" si="4"/>
        <v>0</v>
      </c>
      <c r="O14" s="121">
        <f t="shared" si="0"/>
        <v>0</v>
      </c>
      <c r="P14" s="121">
        <f t="shared" si="7"/>
        <v>0</v>
      </c>
      <c r="Q14" s="121">
        <f t="shared" si="1"/>
        <v>0</v>
      </c>
      <c r="R14" s="155"/>
      <c r="S14" s="156">
        <f t="shared" si="2"/>
        <v>0</v>
      </c>
    </row>
    <row r="15" spans="2:20" ht="16.05" customHeight="1">
      <c r="B15" s="193"/>
      <c r="C15" s="194"/>
      <c r="D15" s="16" t="s">
        <v>158</v>
      </c>
      <c r="E15" s="16" t="s">
        <v>173</v>
      </c>
      <c r="F15" s="17">
        <f>F13</f>
        <v>1</v>
      </c>
      <c r="G15" s="17"/>
      <c r="H15" s="17"/>
      <c r="I15" s="35">
        <f t="shared" si="5"/>
        <v>7</v>
      </c>
      <c r="J15" s="176">
        <f t="shared" si="6"/>
        <v>0</v>
      </c>
      <c r="K15" s="181">
        <f t="shared" si="3"/>
        <v>0</v>
      </c>
      <c r="N15" s="121">
        <f t="shared" si="4"/>
        <v>0</v>
      </c>
      <c r="O15" s="121">
        <f t="shared" si="0"/>
        <v>0</v>
      </c>
      <c r="P15" s="121">
        <f t="shared" si="7"/>
        <v>0</v>
      </c>
      <c r="Q15" s="121">
        <f t="shared" si="1"/>
        <v>0</v>
      </c>
      <c r="R15" s="155"/>
      <c r="S15" s="156">
        <f t="shared" si="2"/>
        <v>0</v>
      </c>
    </row>
    <row r="16" spans="2:20" ht="16.05" customHeight="1">
      <c r="B16" s="193"/>
      <c r="C16" s="194"/>
      <c r="D16" s="16" t="s">
        <v>32</v>
      </c>
      <c r="E16" s="16" t="s">
        <v>174</v>
      </c>
      <c r="F16" s="17">
        <f>'Rack Layout'!U13</f>
        <v>9</v>
      </c>
      <c r="G16" s="17"/>
      <c r="H16" s="17"/>
      <c r="I16" s="35">
        <f t="shared" si="5"/>
        <v>63</v>
      </c>
      <c r="J16" s="176">
        <f t="shared" si="6"/>
        <v>0</v>
      </c>
      <c r="K16" s="181">
        <f t="shared" si="3"/>
        <v>0</v>
      </c>
      <c r="N16" s="121">
        <f t="shared" si="4"/>
        <v>0</v>
      </c>
      <c r="O16" s="121">
        <f t="shared" si="0"/>
        <v>0</v>
      </c>
      <c r="P16" s="121">
        <f t="shared" si="7"/>
        <v>0</v>
      </c>
      <c r="Q16" s="121">
        <f t="shared" si="1"/>
        <v>0</v>
      </c>
      <c r="R16" s="155"/>
      <c r="S16" s="156">
        <f t="shared" si="2"/>
        <v>0</v>
      </c>
    </row>
    <row r="17" spans="2:22" ht="16.05" customHeight="1">
      <c r="B17" s="193"/>
      <c r="C17" s="194"/>
      <c r="D17" s="58" t="s">
        <v>33</v>
      </c>
      <c r="E17" s="16" t="s">
        <v>175</v>
      </c>
      <c r="F17" s="17"/>
      <c r="G17" s="17">
        <v>1</v>
      </c>
      <c r="H17" s="17"/>
      <c r="I17" s="35">
        <f t="shared" si="5"/>
        <v>1</v>
      </c>
      <c r="J17" s="176">
        <f t="shared" si="6"/>
        <v>0</v>
      </c>
      <c r="K17" s="181">
        <f t="shared" si="3"/>
        <v>0</v>
      </c>
      <c r="N17" s="121">
        <f t="shared" si="4"/>
        <v>0</v>
      </c>
      <c r="O17" s="121">
        <f t="shared" si="0"/>
        <v>0</v>
      </c>
      <c r="P17" s="121">
        <f t="shared" si="7"/>
        <v>0</v>
      </c>
      <c r="Q17" s="121">
        <f t="shared" si="1"/>
        <v>0</v>
      </c>
      <c r="R17" s="155"/>
      <c r="S17" s="156">
        <f t="shared" si="2"/>
        <v>0</v>
      </c>
    </row>
    <row r="18" spans="2:22" ht="16.05" customHeight="1">
      <c r="B18" s="193"/>
      <c r="C18" s="194"/>
      <c r="D18" s="34" t="s">
        <v>181</v>
      </c>
      <c r="E18" s="16" t="s">
        <v>182</v>
      </c>
      <c r="F18" s="17"/>
      <c r="G18" s="17">
        <v>1</v>
      </c>
      <c r="H18" s="17"/>
      <c r="I18" s="35">
        <f t="shared" si="5"/>
        <v>1</v>
      </c>
      <c r="J18" s="176">
        <f t="shared" si="6"/>
        <v>0</v>
      </c>
      <c r="K18" s="181">
        <f t="shared" si="3"/>
        <v>0</v>
      </c>
      <c r="N18" s="121">
        <f t="shared" si="4"/>
        <v>0</v>
      </c>
      <c r="O18" s="121">
        <f t="shared" si="0"/>
        <v>0</v>
      </c>
      <c r="P18" s="121">
        <f t="shared" si="7"/>
        <v>0</v>
      </c>
      <c r="Q18" s="121">
        <f t="shared" si="1"/>
        <v>0</v>
      </c>
      <c r="R18" s="155"/>
      <c r="S18" s="156">
        <f t="shared" si="2"/>
        <v>0</v>
      </c>
    </row>
    <row r="19" spans="2:22" ht="16.05" customHeight="1">
      <c r="B19" s="17">
        <v>5</v>
      </c>
      <c r="C19" s="16" t="s">
        <v>62</v>
      </c>
      <c r="D19" s="16" t="s">
        <v>153</v>
      </c>
      <c r="E19" s="16" t="s">
        <v>31</v>
      </c>
      <c r="F19" s="17">
        <f>F10</f>
        <v>9</v>
      </c>
      <c r="G19" s="17"/>
      <c r="H19" s="17"/>
      <c r="I19" s="35">
        <f t="shared" si="5"/>
        <v>63</v>
      </c>
      <c r="J19" s="176">
        <f t="shared" si="6"/>
        <v>0</v>
      </c>
      <c r="K19" s="181">
        <f t="shared" si="3"/>
        <v>0</v>
      </c>
      <c r="N19" s="121">
        <f t="shared" si="4"/>
        <v>0</v>
      </c>
      <c r="O19" s="121">
        <f t="shared" si="0"/>
        <v>0</v>
      </c>
      <c r="P19" s="122"/>
      <c r="Q19" s="121">
        <f t="shared" si="1"/>
        <v>0</v>
      </c>
      <c r="R19" s="155">
        <v>0</v>
      </c>
      <c r="S19" s="156">
        <f t="shared" si="2"/>
        <v>0</v>
      </c>
    </row>
    <row r="20" spans="2:22" ht="16.05" customHeight="1">
      <c r="B20" s="17">
        <v>6</v>
      </c>
      <c r="C20" s="16" t="s">
        <v>62</v>
      </c>
      <c r="D20" s="16" t="s">
        <v>154</v>
      </c>
      <c r="E20" s="16" t="s">
        <v>31</v>
      </c>
      <c r="F20" s="17">
        <f>F11</f>
        <v>16</v>
      </c>
      <c r="G20" s="17"/>
      <c r="H20" s="17"/>
      <c r="I20" s="35">
        <f t="shared" si="5"/>
        <v>112</v>
      </c>
      <c r="J20" s="176">
        <f t="shared" si="6"/>
        <v>0</v>
      </c>
      <c r="K20" s="181">
        <f t="shared" si="3"/>
        <v>0</v>
      </c>
      <c r="N20" s="121">
        <f t="shared" si="4"/>
        <v>0</v>
      </c>
      <c r="O20" s="121">
        <f t="shared" si="0"/>
        <v>0</v>
      </c>
      <c r="P20" s="122"/>
      <c r="Q20" s="121">
        <f t="shared" si="1"/>
        <v>0</v>
      </c>
      <c r="R20" s="155">
        <v>0</v>
      </c>
      <c r="S20" s="156">
        <f t="shared" si="2"/>
        <v>0</v>
      </c>
    </row>
    <row r="21" spans="2:22" ht="49.95" customHeight="1">
      <c r="B21" s="17">
        <v>7</v>
      </c>
      <c r="C21" s="16" t="s">
        <v>80</v>
      </c>
      <c r="D21" s="34" t="s">
        <v>203</v>
      </c>
      <c r="E21" s="16" t="s">
        <v>31</v>
      </c>
      <c r="F21" s="17">
        <v>1</v>
      </c>
      <c r="G21" s="17"/>
      <c r="H21" s="17"/>
      <c r="I21" s="35">
        <f t="shared" si="5"/>
        <v>7</v>
      </c>
      <c r="J21" s="176">
        <f t="shared" si="6"/>
        <v>0</v>
      </c>
      <c r="K21" s="181">
        <f t="shared" si="3"/>
        <v>0</v>
      </c>
      <c r="N21" s="121">
        <f t="shared" si="4"/>
        <v>0</v>
      </c>
      <c r="O21" s="121">
        <f t="shared" si="0"/>
        <v>0</v>
      </c>
      <c r="P21" s="122"/>
      <c r="Q21" s="121">
        <f t="shared" si="1"/>
        <v>0</v>
      </c>
      <c r="R21" s="155">
        <v>0</v>
      </c>
      <c r="S21" s="156">
        <f t="shared" si="2"/>
        <v>0</v>
      </c>
    </row>
    <row r="22" spans="2:22" ht="16.05" customHeight="1">
      <c r="B22" s="17">
        <v>8</v>
      </c>
      <c r="C22" s="16" t="s">
        <v>63</v>
      </c>
      <c r="D22" s="16" t="s">
        <v>64</v>
      </c>
      <c r="E22" s="16" t="s">
        <v>31</v>
      </c>
      <c r="F22" s="17">
        <f>SUM(F10:F12)</f>
        <v>33</v>
      </c>
      <c r="G22" s="17"/>
      <c r="H22" s="17"/>
      <c r="I22" s="35">
        <f t="shared" si="5"/>
        <v>231</v>
      </c>
      <c r="J22" s="176">
        <f t="shared" si="6"/>
        <v>0</v>
      </c>
      <c r="K22" s="181">
        <f t="shared" si="3"/>
        <v>0</v>
      </c>
      <c r="N22" s="121">
        <f t="shared" si="4"/>
        <v>0</v>
      </c>
      <c r="O22" s="121">
        <f t="shared" si="0"/>
        <v>0</v>
      </c>
      <c r="P22" s="122"/>
      <c r="Q22" s="121">
        <f t="shared" si="1"/>
        <v>0</v>
      </c>
      <c r="R22" s="155">
        <v>0</v>
      </c>
      <c r="S22" s="156">
        <f t="shared" si="2"/>
        <v>0</v>
      </c>
    </row>
    <row r="23" spans="2:22" ht="16.05" customHeight="1">
      <c r="B23" s="17">
        <v>9</v>
      </c>
      <c r="C23" s="16" t="s">
        <v>65</v>
      </c>
      <c r="D23" s="16" t="s">
        <v>66</v>
      </c>
      <c r="E23" s="16" t="s">
        <v>31</v>
      </c>
      <c r="F23" s="17">
        <v>5</v>
      </c>
      <c r="G23" s="17"/>
      <c r="H23" s="17"/>
      <c r="I23" s="35">
        <f t="shared" si="5"/>
        <v>35</v>
      </c>
      <c r="J23" s="176">
        <f t="shared" si="6"/>
        <v>0</v>
      </c>
      <c r="K23" s="181">
        <f t="shared" si="3"/>
        <v>0</v>
      </c>
      <c r="N23" s="121">
        <f t="shared" si="4"/>
        <v>0</v>
      </c>
      <c r="O23" s="121">
        <f t="shared" si="0"/>
        <v>0</v>
      </c>
      <c r="P23" s="122"/>
      <c r="Q23" s="121">
        <f t="shared" si="1"/>
        <v>0</v>
      </c>
      <c r="R23" s="155">
        <v>0</v>
      </c>
      <c r="S23" s="156">
        <f t="shared" si="2"/>
        <v>0</v>
      </c>
    </row>
    <row r="24" spans="2:22" ht="16.05" customHeight="1">
      <c r="B24" s="17">
        <v>10</v>
      </c>
      <c r="C24" s="16" t="s">
        <v>167</v>
      </c>
      <c r="D24" s="34" t="s">
        <v>168</v>
      </c>
      <c r="E24" s="16" t="s">
        <v>31</v>
      </c>
      <c r="F24" s="17"/>
      <c r="G24" s="17">
        <v>4</v>
      </c>
      <c r="H24" s="17"/>
      <c r="I24" s="35">
        <f t="shared" si="5"/>
        <v>4</v>
      </c>
      <c r="J24" s="176">
        <f t="shared" si="6"/>
        <v>0</v>
      </c>
      <c r="K24" s="181">
        <f t="shared" si="3"/>
        <v>0</v>
      </c>
      <c r="N24" s="121">
        <f t="shared" si="4"/>
        <v>0</v>
      </c>
      <c r="O24" s="121">
        <f t="shared" si="0"/>
        <v>0</v>
      </c>
      <c r="P24" s="122"/>
      <c r="Q24" s="121">
        <f t="shared" si="1"/>
        <v>0</v>
      </c>
      <c r="R24" s="155">
        <v>0</v>
      </c>
      <c r="S24" s="156">
        <f t="shared" si="2"/>
        <v>0</v>
      </c>
    </row>
    <row r="25" spans="2:22" ht="49.95" customHeight="1">
      <c r="B25" s="17">
        <v>11</v>
      </c>
      <c r="C25" s="144" t="s">
        <v>160</v>
      </c>
      <c r="D25" s="145" t="s">
        <v>200</v>
      </c>
      <c r="E25" s="16" t="s">
        <v>31</v>
      </c>
      <c r="F25" s="17"/>
      <c r="G25" s="17">
        <f>G24</f>
        <v>4</v>
      </c>
      <c r="H25" s="17"/>
      <c r="I25" s="35">
        <f t="shared" si="5"/>
        <v>4</v>
      </c>
      <c r="J25" s="176">
        <f t="shared" si="6"/>
        <v>0</v>
      </c>
      <c r="K25" s="181">
        <f t="shared" si="3"/>
        <v>0</v>
      </c>
      <c r="N25" s="121">
        <f t="shared" si="4"/>
        <v>0</v>
      </c>
      <c r="O25" s="121">
        <f t="shared" si="0"/>
        <v>0</v>
      </c>
      <c r="P25" s="122"/>
      <c r="Q25" s="121">
        <f t="shared" si="1"/>
        <v>0</v>
      </c>
      <c r="R25" s="155">
        <v>0</v>
      </c>
      <c r="S25" s="156">
        <f t="shared" si="2"/>
        <v>0</v>
      </c>
    </row>
    <row r="26" spans="2:22" ht="49.95" customHeight="1">
      <c r="B26" s="17">
        <v>12</v>
      </c>
      <c r="C26" s="16" t="s">
        <v>161</v>
      </c>
      <c r="D26" s="34" t="s">
        <v>214</v>
      </c>
      <c r="E26" s="16" t="s">
        <v>31</v>
      </c>
      <c r="F26" s="17"/>
      <c r="G26" s="17">
        <v>1</v>
      </c>
      <c r="H26" s="17"/>
      <c r="I26" s="35">
        <f t="shared" si="5"/>
        <v>1</v>
      </c>
      <c r="J26" s="176">
        <f t="shared" si="6"/>
        <v>0</v>
      </c>
      <c r="K26" s="181">
        <f t="shared" si="3"/>
        <v>0</v>
      </c>
      <c r="N26" s="121">
        <f t="shared" si="4"/>
        <v>0</v>
      </c>
      <c r="O26" s="121">
        <f t="shared" si="0"/>
        <v>0</v>
      </c>
      <c r="P26" s="122"/>
      <c r="Q26" s="121">
        <f t="shared" si="1"/>
        <v>0</v>
      </c>
      <c r="R26" s="155">
        <v>0</v>
      </c>
      <c r="S26" s="156">
        <f t="shared" si="2"/>
        <v>0</v>
      </c>
    </row>
    <row r="27" spans="2:22" ht="49.95" customHeight="1">
      <c r="B27" s="17">
        <v>13</v>
      </c>
      <c r="C27" s="16" t="s">
        <v>185</v>
      </c>
      <c r="D27" s="34" t="s">
        <v>194</v>
      </c>
      <c r="E27" s="16" t="s">
        <v>31</v>
      </c>
      <c r="F27" s="17"/>
      <c r="G27" s="17">
        <v>1</v>
      </c>
      <c r="H27" s="17"/>
      <c r="I27" s="35">
        <f t="shared" si="5"/>
        <v>1</v>
      </c>
      <c r="J27" s="176">
        <f t="shared" si="6"/>
        <v>0</v>
      </c>
      <c r="K27" s="181">
        <f t="shared" si="3"/>
        <v>0</v>
      </c>
      <c r="N27" s="121">
        <f t="shared" si="4"/>
        <v>0</v>
      </c>
      <c r="O27" s="121">
        <f t="shared" si="0"/>
        <v>0</v>
      </c>
      <c r="P27" s="122"/>
      <c r="Q27" s="121">
        <f t="shared" si="1"/>
        <v>0</v>
      </c>
      <c r="R27" s="155">
        <v>0</v>
      </c>
      <c r="S27" s="156">
        <f t="shared" si="2"/>
        <v>0</v>
      </c>
    </row>
    <row r="28" spans="2:22" ht="16.05" customHeight="1" thickBot="1">
      <c r="B28" s="17">
        <v>14</v>
      </c>
      <c r="C28" s="58" t="s">
        <v>159</v>
      </c>
      <c r="D28" s="16" t="s">
        <v>34</v>
      </c>
      <c r="E28" s="16" t="s">
        <v>176</v>
      </c>
      <c r="F28" s="17"/>
      <c r="G28" s="17">
        <v>1</v>
      </c>
      <c r="H28" s="17"/>
      <c r="I28" s="35">
        <f t="shared" si="5"/>
        <v>1</v>
      </c>
      <c r="J28" s="176">
        <f t="shared" si="6"/>
        <v>0</v>
      </c>
      <c r="K28" s="181">
        <f t="shared" si="3"/>
        <v>0</v>
      </c>
      <c r="N28" s="164">
        <f t="shared" si="4"/>
        <v>0</v>
      </c>
      <c r="O28" s="164">
        <f t="shared" si="0"/>
        <v>0</v>
      </c>
      <c r="P28" s="164"/>
      <c r="Q28" s="121">
        <f t="shared" si="1"/>
        <v>0</v>
      </c>
      <c r="R28" s="165">
        <v>0</v>
      </c>
      <c r="S28" s="165">
        <f t="shared" si="2"/>
        <v>0</v>
      </c>
    </row>
    <row r="29" spans="2:22" s="31" customFormat="1" ht="16.05" customHeight="1" thickTop="1">
      <c r="B29" s="182" t="s">
        <v>35</v>
      </c>
      <c r="C29" s="192" t="str">
        <f>C8</f>
        <v xml:space="preserve"> Vibration &amp; Air Gap Monitoring System For YYYY</v>
      </c>
      <c r="D29" s="192"/>
      <c r="E29" s="192"/>
      <c r="F29" s="186">
        <f>J29</f>
        <v>0</v>
      </c>
      <c r="G29" s="186"/>
      <c r="H29" s="186"/>
      <c r="I29" s="187"/>
      <c r="J29" s="186">
        <f>SUM(K10:K28)</f>
        <v>0</v>
      </c>
      <c r="K29" s="187"/>
      <c r="L29" s="15"/>
      <c r="M29" s="15"/>
      <c r="N29" s="157" t="s">
        <v>11</v>
      </c>
      <c r="O29" s="158">
        <f>SUM(O10:O28)</f>
        <v>0</v>
      </c>
      <c r="P29" s="137" t="s">
        <v>51</v>
      </c>
      <c r="Q29" s="158">
        <f>SUM(Q10:Q28)</f>
        <v>0</v>
      </c>
      <c r="R29" s="137" t="s">
        <v>61</v>
      </c>
      <c r="S29" s="159">
        <f>SUM(S10:S28)</f>
        <v>0</v>
      </c>
      <c r="T29" s="15"/>
      <c r="U29" s="160"/>
      <c r="V29" s="15"/>
    </row>
    <row r="30" spans="2:22" s="31" customFormat="1" ht="16.05" customHeight="1">
      <c r="B30" s="92"/>
      <c r="C30" s="93"/>
      <c r="D30" s="14"/>
      <c r="E30" s="15"/>
      <c r="F30" s="43"/>
      <c r="G30" s="43"/>
      <c r="H30" s="43"/>
      <c r="I30" s="43"/>
      <c r="J30" s="43"/>
      <c r="K30" s="43"/>
      <c r="L30" s="15"/>
      <c r="M30" s="15"/>
      <c r="N30" s="161"/>
      <c r="O30" s="162"/>
      <c r="P30" s="174"/>
      <c r="Q30" s="162"/>
      <c r="R30" s="174"/>
      <c r="S30" s="175"/>
      <c r="T30" s="15"/>
      <c r="U30" s="15"/>
      <c r="V30" s="15"/>
    </row>
    <row r="31" spans="2:22" ht="16.05" customHeight="1">
      <c r="B31" s="114" t="s">
        <v>205</v>
      </c>
      <c r="C31" s="120" t="s">
        <v>230</v>
      </c>
      <c r="D31" s="120"/>
      <c r="E31" s="120"/>
      <c r="F31" s="120"/>
      <c r="G31" s="120"/>
      <c r="H31" s="120"/>
      <c r="I31" s="120"/>
      <c r="J31" s="109"/>
      <c r="K31" s="109"/>
      <c r="O31" s="173"/>
    </row>
    <row r="32" spans="2:22" ht="16.05" customHeight="1" thickBot="1">
      <c r="B32" s="179" t="s">
        <v>12</v>
      </c>
      <c r="C32" s="179" t="s">
        <v>27</v>
      </c>
      <c r="D32" s="179" t="s">
        <v>28</v>
      </c>
      <c r="E32" s="179" t="s">
        <v>184</v>
      </c>
      <c r="F32" s="179" t="s">
        <v>121</v>
      </c>
      <c r="G32" s="179" t="s">
        <v>59</v>
      </c>
      <c r="H32" s="179" t="s">
        <v>152</v>
      </c>
      <c r="I32" s="179" t="s">
        <v>101</v>
      </c>
      <c r="J32" s="180" t="s">
        <v>10</v>
      </c>
      <c r="K32" s="179" t="s">
        <v>11</v>
      </c>
      <c r="N32" s="153" t="s">
        <v>10</v>
      </c>
      <c r="O32" s="153" t="s">
        <v>11</v>
      </c>
      <c r="P32" s="153" t="s">
        <v>50</v>
      </c>
      <c r="Q32" s="153" t="s">
        <v>51</v>
      </c>
      <c r="R32" s="153" t="s">
        <v>60</v>
      </c>
      <c r="S32" s="153" t="s">
        <v>61</v>
      </c>
      <c r="T32" s="154"/>
    </row>
    <row r="33" spans="2:22" ht="31.95" customHeight="1" thickTop="1">
      <c r="B33" s="149">
        <v>1</v>
      </c>
      <c r="C33" s="146" t="s">
        <v>180</v>
      </c>
      <c r="D33" s="147" t="s">
        <v>208</v>
      </c>
      <c r="E33" s="148" t="s">
        <v>177</v>
      </c>
      <c r="F33" s="149">
        <v>5</v>
      </c>
      <c r="G33" s="149">
        <v>5</v>
      </c>
      <c r="H33" s="149"/>
      <c r="I33" s="149">
        <f t="shared" ref="I33" si="8">(F33*7)+G33+H33</f>
        <v>40</v>
      </c>
      <c r="J33" s="177"/>
      <c r="K33" s="183">
        <f t="shared" ref="K33" si="9">J33*I33</f>
        <v>0</v>
      </c>
      <c r="N33" s="168">
        <f>P33/0.6</f>
        <v>0</v>
      </c>
      <c r="O33" s="168">
        <f t="shared" ref="O33" si="10">N33*I33</f>
        <v>0</v>
      </c>
      <c r="P33" s="168"/>
      <c r="Q33" s="168">
        <f t="shared" ref="Q33" si="11">P33*I33</f>
        <v>0</v>
      </c>
      <c r="R33" s="169">
        <v>0</v>
      </c>
      <c r="S33" s="169">
        <f t="shared" ref="S33" si="12">R33*I33</f>
        <v>0</v>
      </c>
    </row>
    <row r="34" spans="2:22" ht="31.95" customHeight="1" thickBot="1">
      <c r="B34" s="42">
        <v>2</v>
      </c>
      <c r="C34" s="87" t="s">
        <v>220</v>
      </c>
      <c r="D34" s="150" t="s">
        <v>219</v>
      </c>
      <c r="E34" s="134" t="s">
        <v>206</v>
      </c>
      <c r="F34" s="42"/>
      <c r="G34" s="42">
        <v>10</v>
      </c>
      <c r="H34" s="42"/>
      <c r="I34" s="42">
        <f t="shared" ref="I34" si="13">(F34*7)+G34+H34</f>
        <v>10</v>
      </c>
      <c r="J34" s="178"/>
      <c r="K34" s="184">
        <f t="shared" ref="K34" si="14">J34*I34</f>
        <v>0</v>
      </c>
      <c r="N34" s="166">
        <f>P34/0.6</f>
        <v>0</v>
      </c>
      <c r="O34" s="166">
        <f t="shared" ref="O34" si="15">N34*I34</f>
        <v>0</v>
      </c>
      <c r="P34" s="166"/>
      <c r="Q34" s="166">
        <f t="shared" ref="Q34" si="16">P34*I34</f>
        <v>0</v>
      </c>
      <c r="R34" s="167">
        <v>0</v>
      </c>
      <c r="S34" s="167">
        <f t="shared" ref="S34" si="17">R34*I34</f>
        <v>0</v>
      </c>
    </row>
    <row r="35" spans="2:22" s="31" customFormat="1" ht="16.05" customHeight="1" thickTop="1">
      <c r="B35" s="182" t="s">
        <v>35</v>
      </c>
      <c r="C35" s="192" t="str">
        <f>C31</f>
        <v xml:space="preserve"> Installation, Commissioning &amp; Post Commissioning Support Services For 1 Year ForYYYYY</v>
      </c>
      <c r="D35" s="192"/>
      <c r="E35" s="192"/>
      <c r="F35" s="186">
        <f>J35</f>
        <v>0</v>
      </c>
      <c r="G35" s="186"/>
      <c r="H35" s="186"/>
      <c r="I35" s="187"/>
      <c r="J35" s="186">
        <f>SUM(K33:K34)</f>
        <v>0</v>
      </c>
      <c r="K35" s="187"/>
      <c r="L35" s="15"/>
      <c r="M35" s="15"/>
      <c r="N35" s="157" t="s">
        <v>11</v>
      </c>
      <c r="O35" s="158">
        <f>SUM(O33:O34)</f>
        <v>0</v>
      </c>
      <c r="P35" s="137" t="s">
        <v>51</v>
      </c>
      <c r="Q35" s="158">
        <f>SUM(Q33:Q34)</f>
        <v>0</v>
      </c>
      <c r="R35" s="137" t="s">
        <v>61</v>
      </c>
      <c r="S35" s="159">
        <f>SUM(S33:S34)</f>
        <v>0</v>
      </c>
      <c r="T35" s="15"/>
      <c r="U35" s="160"/>
      <c r="V35" s="15"/>
    </row>
    <row r="36" spans="2:22" s="31" customFormat="1" ht="16.05" customHeight="1">
      <c r="B36" s="170" t="s">
        <v>207</v>
      </c>
      <c r="C36" s="170" t="s">
        <v>209</v>
      </c>
      <c r="D36" s="151"/>
      <c r="E36" s="132"/>
      <c r="F36" s="152"/>
      <c r="G36" s="152"/>
      <c r="H36" s="152"/>
      <c r="I36" s="152"/>
      <c r="J36" s="152"/>
      <c r="K36" s="152"/>
      <c r="L36" s="15"/>
      <c r="M36" s="15"/>
      <c r="N36" s="161"/>
      <c r="O36" s="162"/>
      <c r="P36" s="174"/>
      <c r="Q36" s="162"/>
      <c r="R36" s="174"/>
      <c r="S36" s="175"/>
      <c r="T36" s="15"/>
      <c r="U36" s="15"/>
      <c r="V36" s="15"/>
    </row>
    <row r="37" spans="2:22" s="31" customFormat="1" ht="16.05" customHeight="1">
      <c r="B37" s="92"/>
      <c r="C37" s="93"/>
      <c r="D37" s="14"/>
      <c r="E37" s="15"/>
      <c r="F37" s="43"/>
      <c r="G37" s="43"/>
      <c r="H37" s="43"/>
      <c r="I37" s="43"/>
      <c r="J37" s="43"/>
      <c r="K37" s="43"/>
      <c r="L37" s="15"/>
      <c r="M37" s="15"/>
      <c r="N37" s="161"/>
      <c r="O37" s="162"/>
      <c r="P37" s="174"/>
      <c r="Q37" s="162"/>
      <c r="R37" s="174"/>
      <c r="S37" s="175"/>
      <c r="T37" s="15"/>
      <c r="U37" s="15"/>
      <c r="V37" s="15"/>
    </row>
    <row r="38" spans="2:22" s="31" customFormat="1" ht="16.05" customHeight="1">
      <c r="B38" s="92"/>
      <c r="C38" s="93"/>
      <c r="D38" s="14"/>
      <c r="E38" s="15"/>
      <c r="F38" s="43"/>
      <c r="G38" s="43"/>
      <c r="H38" s="43"/>
      <c r="I38" s="43"/>
      <c r="J38" s="43"/>
      <c r="K38" s="43"/>
      <c r="L38" s="15"/>
      <c r="M38" s="15"/>
      <c r="N38" s="161"/>
      <c r="O38" s="162"/>
      <c r="P38" s="174"/>
      <c r="Q38" s="162"/>
      <c r="R38" s="174"/>
      <c r="S38" s="175"/>
      <c r="T38" s="15"/>
      <c r="U38" s="15"/>
      <c r="V38" s="15"/>
    </row>
    <row r="39" spans="2:22" ht="16.05" customHeight="1">
      <c r="B39" s="114" t="s">
        <v>221</v>
      </c>
      <c r="C39" s="120" t="s">
        <v>231</v>
      </c>
      <c r="D39" s="120"/>
      <c r="E39" s="120"/>
      <c r="F39" s="120"/>
      <c r="G39" s="120"/>
      <c r="H39" s="120"/>
      <c r="I39" s="120"/>
      <c r="J39" s="109"/>
      <c r="K39" s="109"/>
      <c r="O39" s="173"/>
    </row>
    <row r="40" spans="2:22" ht="16.05" customHeight="1" thickBot="1">
      <c r="B40" s="179" t="s">
        <v>12</v>
      </c>
      <c r="C40" s="179" t="s">
        <v>27</v>
      </c>
      <c r="D40" s="179" t="s">
        <v>28</v>
      </c>
      <c r="E40" s="179" t="s">
        <v>184</v>
      </c>
      <c r="F40" s="179" t="s">
        <v>121</v>
      </c>
      <c r="G40" s="179" t="s">
        <v>59</v>
      </c>
      <c r="H40" s="179" t="s">
        <v>152</v>
      </c>
      <c r="I40" s="179" t="s">
        <v>101</v>
      </c>
      <c r="J40" s="180" t="s">
        <v>10</v>
      </c>
      <c r="K40" s="179" t="s">
        <v>11</v>
      </c>
      <c r="N40" s="153" t="s">
        <v>10</v>
      </c>
      <c r="O40" s="153" t="s">
        <v>11</v>
      </c>
      <c r="P40" s="153" t="s">
        <v>50</v>
      </c>
      <c r="Q40" s="153" t="s">
        <v>51</v>
      </c>
      <c r="R40" s="153" t="s">
        <v>60</v>
      </c>
      <c r="S40" s="153" t="s">
        <v>61</v>
      </c>
      <c r="T40" s="154"/>
    </row>
    <row r="41" spans="2:22" ht="49.95" customHeight="1" thickTop="1">
      <c r="B41" s="17">
        <v>1</v>
      </c>
      <c r="C41" s="16" t="s">
        <v>216</v>
      </c>
      <c r="D41" s="34" t="s">
        <v>193</v>
      </c>
      <c r="E41" s="16" t="s">
        <v>31</v>
      </c>
      <c r="F41" s="17">
        <f>8*150</f>
        <v>1200</v>
      </c>
      <c r="G41" s="17"/>
      <c r="H41" s="17"/>
      <c r="I41" s="35">
        <f t="shared" ref="I41" si="18">(F41*7)+G41+H41</f>
        <v>8400</v>
      </c>
      <c r="J41" s="176">
        <f>N41</f>
        <v>0</v>
      </c>
      <c r="K41" s="181">
        <f t="shared" ref="K41" si="19">J41*I41</f>
        <v>0</v>
      </c>
      <c r="N41" s="121">
        <f>P41/0.6</f>
        <v>0</v>
      </c>
      <c r="O41" s="121">
        <f t="shared" ref="O41:O43" si="20">N41*I41</f>
        <v>0</v>
      </c>
      <c r="P41" s="122"/>
      <c r="Q41" s="121">
        <f t="shared" ref="Q41:Q43" si="21">P41*I41</f>
        <v>0</v>
      </c>
      <c r="R41" s="155">
        <v>0</v>
      </c>
      <c r="S41" s="156">
        <f t="shared" ref="S41" si="22">R41*I41</f>
        <v>0</v>
      </c>
    </row>
    <row r="42" spans="2:22" ht="49.95" customHeight="1">
      <c r="B42" s="17">
        <v>2</v>
      </c>
      <c r="C42" s="34" t="s">
        <v>211</v>
      </c>
      <c r="D42" s="34" t="s">
        <v>210</v>
      </c>
      <c r="E42" s="16" t="s">
        <v>31</v>
      </c>
      <c r="F42" s="17">
        <f>((32/8)+(1))*100</f>
        <v>500</v>
      </c>
      <c r="G42" s="17"/>
      <c r="H42" s="17"/>
      <c r="I42" s="35">
        <f>(F42*7)+G42+H42</f>
        <v>3500</v>
      </c>
      <c r="J42" s="176">
        <f>N42</f>
        <v>0</v>
      </c>
      <c r="K42" s="181">
        <f>J42*I42</f>
        <v>0</v>
      </c>
      <c r="N42" s="121">
        <f t="shared" ref="N42:N43" si="23">P42/0.6</f>
        <v>0</v>
      </c>
      <c r="O42" s="121">
        <f t="shared" si="20"/>
        <v>0</v>
      </c>
      <c r="P42" s="122"/>
      <c r="Q42" s="121">
        <f t="shared" si="21"/>
        <v>0</v>
      </c>
      <c r="R42" s="155">
        <v>0</v>
      </c>
      <c r="S42" s="156">
        <f>R42*I42</f>
        <v>0</v>
      </c>
    </row>
    <row r="43" spans="2:22" ht="64.05" customHeight="1" thickBot="1">
      <c r="B43" s="17">
        <v>3</v>
      </c>
      <c r="C43" s="16" t="s">
        <v>212</v>
      </c>
      <c r="D43" s="34" t="s">
        <v>201</v>
      </c>
      <c r="E43" s="16" t="s">
        <v>31</v>
      </c>
      <c r="F43" s="17">
        <v>1</v>
      </c>
      <c r="G43" s="17">
        <v>5</v>
      </c>
      <c r="H43" s="17"/>
      <c r="I43" s="35">
        <f t="shared" ref="I43" si="24">(F43*7)+G43+H43</f>
        <v>12</v>
      </c>
      <c r="J43" s="176"/>
      <c r="K43" s="181">
        <f t="shared" ref="K43" si="25">J43*I43</f>
        <v>0</v>
      </c>
      <c r="N43" s="164">
        <f t="shared" si="23"/>
        <v>0</v>
      </c>
      <c r="O43" s="164">
        <f t="shared" si="20"/>
        <v>0</v>
      </c>
      <c r="P43" s="164"/>
      <c r="Q43" s="164">
        <f t="shared" si="21"/>
        <v>0</v>
      </c>
      <c r="R43" s="165">
        <v>0</v>
      </c>
      <c r="S43" s="165">
        <f t="shared" ref="S43" si="26">R43*I43</f>
        <v>0</v>
      </c>
    </row>
    <row r="44" spans="2:22" s="31" customFormat="1" ht="16.05" customHeight="1" thickTop="1">
      <c r="B44" s="182" t="s">
        <v>35</v>
      </c>
      <c r="C44" s="192" t="str">
        <f>C39</f>
        <v>Optional Cables For Vibration &amp; Air Gap Monitoring System For YYYYYYY</v>
      </c>
      <c r="D44" s="192"/>
      <c r="E44" s="192"/>
      <c r="F44" s="186">
        <f>J44</f>
        <v>0</v>
      </c>
      <c r="G44" s="186"/>
      <c r="H44" s="186"/>
      <c r="I44" s="187"/>
      <c r="J44" s="186">
        <f>SUM(K41:K43)</f>
        <v>0</v>
      </c>
      <c r="K44" s="187"/>
      <c r="L44" s="15"/>
      <c r="M44" s="15"/>
      <c r="N44" s="157" t="s">
        <v>11</v>
      </c>
      <c r="O44" s="158">
        <f>SUM(O41:O43)</f>
        <v>0</v>
      </c>
      <c r="P44" s="137" t="s">
        <v>51</v>
      </c>
      <c r="Q44" s="158">
        <f>SUM(Q41:Q43)</f>
        <v>0</v>
      </c>
      <c r="R44" s="137" t="s">
        <v>61</v>
      </c>
      <c r="S44" s="159">
        <f>SUM(S41:S43)</f>
        <v>0</v>
      </c>
      <c r="T44" s="15"/>
      <c r="U44" s="163"/>
      <c r="V44" s="15"/>
    </row>
    <row r="45" spans="2:22" s="31" customFormat="1" ht="16.05" customHeight="1">
      <c r="B45" s="170" t="s">
        <v>207</v>
      </c>
      <c r="C45" s="170" t="s">
        <v>217</v>
      </c>
      <c r="D45" s="14"/>
      <c r="E45" s="15"/>
      <c r="F45" s="43"/>
      <c r="G45" s="43"/>
      <c r="H45" s="43"/>
      <c r="I45" s="43"/>
      <c r="J45" s="43"/>
      <c r="K45" s="43"/>
      <c r="L45" s="15"/>
      <c r="M45" s="15"/>
      <c r="N45" s="161"/>
      <c r="O45" s="162"/>
      <c r="P45" s="174"/>
      <c r="Q45" s="162"/>
      <c r="R45" s="174"/>
      <c r="S45" s="175"/>
      <c r="T45" s="15"/>
      <c r="U45" s="15"/>
      <c r="V45" s="15"/>
    </row>
    <row r="46" spans="2:22" s="31" customFormat="1" ht="16.05" customHeight="1">
      <c r="B46" s="92"/>
      <c r="C46" s="170" t="s">
        <v>218</v>
      </c>
      <c r="D46" s="14"/>
      <c r="E46" s="15"/>
      <c r="F46" s="43"/>
      <c r="G46" s="43"/>
      <c r="H46" s="43"/>
      <c r="I46" s="43"/>
      <c r="J46" s="43"/>
      <c r="K46" s="43"/>
      <c r="L46" s="15"/>
      <c r="M46" s="15"/>
      <c r="N46" s="161"/>
      <c r="O46" s="162"/>
      <c r="P46" s="174"/>
      <c r="Q46" s="162"/>
      <c r="R46" s="174"/>
      <c r="S46" s="175"/>
      <c r="T46" s="15"/>
      <c r="U46" s="15"/>
      <c r="V46" s="15"/>
    </row>
    <row r="47" spans="2:22" s="31" customFormat="1" ht="16.05" customHeight="1">
      <c r="B47" s="92"/>
      <c r="C47" s="93"/>
      <c r="D47" s="14"/>
      <c r="E47" s="15"/>
      <c r="F47" s="43"/>
      <c r="G47" s="43"/>
      <c r="H47" s="43"/>
      <c r="I47" s="43"/>
      <c r="J47" s="43"/>
      <c r="K47" s="43"/>
      <c r="L47" s="15"/>
      <c r="M47" s="15"/>
      <c r="N47" s="161"/>
      <c r="O47" s="162"/>
      <c r="P47" s="174"/>
      <c r="Q47" s="162"/>
      <c r="R47" s="174"/>
      <c r="S47" s="175"/>
      <c r="T47" s="15"/>
      <c r="U47" s="15"/>
      <c r="V47" s="15"/>
    </row>
    <row r="48" spans="2:22" ht="16.05" customHeight="1" thickBot="1">
      <c r="B48" s="188" t="s">
        <v>82</v>
      </c>
      <c r="C48" s="188"/>
      <c r="D48" s="188"/>
      <c r="E48" s="188"/>
      <c r="F48" s="188"/>
      <c r="G48" s="188"/>
      <c r="H48" s="188"/>
      <c r="I48" s="188"/>
      <c r="J48" s="75"/>
      <c r="K48" s="106"/>
      <c r="O48" s="105"/>
    </row>
    <row r="49" spans="2:19" ht="16.05" customHeight="1" thickTop="1">
      <c r="B49" s="95" t="s">
        <v>232</v>
      </c>
      <c r="C49" s="95"/>
      <c r="D49" s="95"/>
      <c r="E49" s="95"/>
      <c r="F49" s="95"/>
      <c r="G49" s="95"/>
      <c r="H49" s="79"/>
      <c r="I49" s="76"/>
      <c r="J49" s="76"/>
      <c r="O49" s="105"/>
    </row>
    <row r="50" spans="2:19" ht="16.05" customHeight="1">
      <c r="B50" s="76" t="s">
        <v>186</v>
      </c>
      <c r="C50" s="76"/>
      <c r="D50" s="76"/>
      <c r="E50" s="76"/>
      <c r="F50" s="76"/>
      <c r="G50" s="76"/>
      <c r="H50" s="79"/>
      <c r="I50" s="76"/>
      <c r="J50" s="76"/>
    </row>
    <row r="51" spans="2:19" ht="16.05" customHeight="1">
      <c r="B51" s="76" t="s">
        <v>233</v>
      </c>
      <c r="C51" s="76"/>
      <c r="D51" s="76"/>
      <c r="E51" s="76"/>
      <c r="F51" s="76"/>
      <c r="G51" s="76"/>
      <c r="H51" s="79"/>
      <c r="I51" s="76"/>
      <c r="J51" s="76"/>
      <c r="R51" s="110"/>
      <c r="S51" s="111"/>
    </row>
    <row r="52" spans="2:19" ht="16.05" customHeight="1">
      <c r="B52" s="76" t="s">
        <v>187</v>
      </c>
      <c r="C52" s="76"/>
      <c r="D52" s="76"/>
      <c r="E52" s="76"/>
      <c r="F52" s="76"/>
      <c r="G52" s="76"/>
      <c r="H52" s="79"/>
      <c r="I52" s="76"/>
      <c r="J52" s="76"/>
      <c r="R52" s="110"/>
      <c r="S52" s="112"/>
    </row>
    <row r="53" spans="2:19" ht="16.05" customHeight="1">
      <c r="B53" s="76" t="s">
        <v>192</v>
      </c>
      <c r="C53" s="76"/>
      <c r="D53" s="76"/>
      <c r="E53" s="76"/>
      <c r="F53" s="76"/>
      <c r="G53" s="76"/>
      <c r="H53" s="79"/>
      <c r="I53" s="76"/>
      <c r="J53" s="76"/>
      <c r="R53" s="113"/>
      <c r="S53" s="112"/>
    </row>
    <row r="54" spans="2:19" ht="16.05" customHeight="1">
      <c r="B54" s="15" t="s">
        <v>188</v>
      </c>
      <c r="C54" s="15"/>
      <c r="D54" s="15"/>
      <c r="H54" s="78"/>
      <c r="R54" s="113"/>
      <c r="S54" s="113"/>
    </row>
    <row r="55" spans="2:19" ht="16.05" customHeight="1">
      <c r="B55" s="15" t="s">
        <v>215</v>
      </c>
      <c r="C55" s="15"/>
      <c r="D55" s="15"/>
    </row>
    <row r="56" spans="2:19" ht="16.05" customHeight="1">
      <c r="B56" s="78" t="s">
        <v>189</v>
      </c>
      <c r="C56" s="80"/>
      <c r="D56" s="80"/>
      <c r="E56" s="80"/>
      <c r="F56" s="80"/>
      <c r="G56" s="80"/>
      <c r="H56" s="80"/>
      <c r="I56" s="80"/>
    </row>
    <row r="57" spans="2:19" ht="16.05" customHeight="1">
      <c r="B57" s="15" t="s">
        <v>190</v>
      </c>
      <c r="C57" s="15"/>
      <c r="D57" s="15"/>
      <c r="H57" s="78"/>
    </row>
    <row r="58" spans="2:19" ht="16.05" customHeight="1">
      <c r="B58" s="15" t="s">
        <v>191</v>
      </c>
      <c r="C58" s="15"/>
      <c r="D58" s="15"/>
      <c r="H58" s="78"/>
    </row>
    <row r="59" spans="2:19" ht="16.05" customHeight="1">
      <c r="B59" s="15"/>
      <c r="C59" s="15"/>
      <c r="D59" s="15"/>
    </row>
    <row r="61" spans="2:19" ht="16.05" customHeight="1">
      <c r="F61" s="105"/>
      <c r="G61" s="105"/>
      <c r="H61" s="105"/>
      <c r="I61" s="105"/>
      <c r="N61" s="105"/>
    </row>
    <row r="62" spans="2:19" ht="16.05" customHeight="1">
      <c r="F62" s="189"/>
      <c r="G62" s="189"/>
      <c r="H62" s="189"/>
      <c r="I62" s="189"/>
    </row>
  </sheetData>
  <mergeCells count="15">
    <mergeCell ref="J44:K44"/>
    <mergeCell ref="B48:I48"/>
    <mergeCell ref="F62:I62"/>
    <mergeCell ref="N2:Q2"/>
    <mergeCell ref="B6:K6"/>
    <mergeCell ref="C44:E44"/>
    <mergeCell ref="F44:I44"/>
    <mergeCell ref="B13:B18"/>
    <mergeCell ref="C13:C18"/>
    <mergeCell ref="C29:E29"/>
    <mergeCell ref="F29:I29"/>
    <mergeCell ref="J29:K29"/>
    <mergeCell ref="C35:E35"/>
    <mergeCell ref="F35:I35"/>
    <mergeCell ref="J35:K35"/>
  </mergeCells>
  <printOptions horizontalCentered="1"/>
  <pageMargins left="0.19685039370078741" right="0.19685039370078741" top="0.39370078740157483" bottom="0.39370078740157483" header="0.19685039370078741" footer="0.19685039370078741"/>
  <pageSetup paperSize="9" scale="55" fitToHeight="2" orientation="landscape" r:id="rId1"/>
  <rowBreaks count="1" manualBreakCount="1">
    <brk id="37" max="11" man="1"/>
  </rowBreaks>
  <ignoredErrors>
    <ignoredError sqref="P12" formula="1"/>
  </ignoredErrors>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9B937-98F7-4C42-A236-7E0E4F92F0B0}">
  <sheetPr>
    <pageSetUpPr fitToPage="1"/>
  </sheetPr>
  <dimension ref="A1:L14"/>
  <sheetViews>
    <sheetView view="pageBreakPreview" zoomScale="80" zoomScaleNormal="70" zoomScaleSheetLayoutView="80" workbookViewId="0">
      <selection activeCell="H7" sqref="H7"/>
    </sheetView>
  </sheetViews>
  <sheetFormatPr defaultColWidth="8.77734375" defaultRowHeight="20.100000000000001" customHeight="1"/>
  <cols>
    <col min="1" max="1" width="2.77734375" style="44" customWidth="1"/>
    <col min="2" max="2" width="5.77734375" style="44" customWidth="1"/>
    <col min="3" max="3" width="34.21875" style="44" customWidth="1"/>
    <col min="4" max="4" width="12.77734375" style="44" customWidth="1"/>
    <col min="5" max="5" width="75.77734375" style="44" customWidth="1"/>
    <col min="6" max="6" width="12.77734375" style="44" customWidth="1"/>
    <col min="7" max="7" width="81.77734375" style="44" customWidth="1"/>
    <col min="8" max="8" width="12.77734375" style="44" customWidth="1"/>
    <col min="9" max="9" width="2.77734375" style="44" customWidth="1"/>
    <col min="10" max="11" width="8.5546875" style="44" bestFit="1" customWidth="1"/>
    <col min="12" max="12" width="12" style="44" bestFit="1" customWidth="1"/>
    <col min="13" max="16384" width="8.77734375" style="44"/>
  </cols>
  <sheetData>
    <row r="1" spans="1:12" ht="14.4">
      <c r="A1" s="45"/>
      <c r="B1" s="45"/>
      <c r="C1" s="45"/>
      <c r="D1" s="45"/>
      <c r="E1" s="45"/>
      <c r="F1" s="45"/>
      <c r="G1" s="45"/>
      <c r="H1" s="45"/>
      <c r="I1" s="45"/>
      <c r="L1" s="46"/>
    </row>
    <row r="2" spans="1:12" ht="18">
      <c r="A2" s="45"/>
      <c r="B2" s="45"/>
      <c r="C2" s="45"/>
      <c r="D2" s="45"/>
      <c r="E2" s="45"/>
      <c r="F2" s="45"/>
      <c r="G2" s="45"/>
      <c r="H2" s="57" t="s">
        <v>0</v>
      </c>
      <c r="I2" s="45"/>
    </row>
    <row r="3" spans="1:12" ht="14.4">
      <c r="A3" s="45"/>
      <c r="B3" s="45"/>
      <c r="C3" s="45"/>
      <c r="D3" s="45"/>
      <c r="E3" s="45"/>
      <c r="F3" s="45"/>
      <c r="G3" s="45"/>
      <c r="H3" s="45"/>
      <c r="I3" s="45"/>
      <c r="L3" s="46"/>
    </row>
    <row r="4" spans="1:12" ht="16.2" thickBot="1">
      <c r="A4" s="45"/>
      <c r="B4" s="235" t="s">
        <v>169</v>
      </c>
      <c r="C4" s="235"/>
      <c r="D4" s="235"/>
      <c r="E4" s="235"/>
      <c r="F4" s="235"/>
      <c r="G4" s="235"/>
      <c r="H4" s="235"/>
      <c r="I4" s="235"/>
      <c r="L4" s="46"/>
    </row>
    <row r="5" spans="1:12" ht="15" thickTop="1">
      <c r="A5" s="45"/>
      <c r="B5" s="45"/>
      <c r="C5" s="45"/>
      <c r="D5" s="45"/>
      <c r="E5" s="45"/>
      <c r="F5" s="45"/>
      <c r="G5" s="45"/>
      <c r="H5" s="45"/>
      <c r="I5" s="45"/>
      <c r="L5" s="46"/>
    </row>
    <row r="6" spans="1:12" ht="15" thickBot="1">
      <c r="A6" s="45"/>
      <c r="B6" s="47" t="s">
        <v>12</v>
      </c>
      <c r="C6" s="47" t="s">
        <v>36</v>
      </c>
      <c r="D6" s="47" t="s">
        <v>37</v>
      </c>
      <c r="E6" s="47" t="s">
        <v>38</v>
      </c>
      <c r="F6" s="47" t="s">
        <v>39</v>
      </c>
      <c r="G6" s="47" t="s">
        <v>40</v>
      </c>
      <c r="H6" s="47" t="s">
        <v>41</v>
      </c>
      <c r="I6" s="45"/>
    </row>
    <row r="7" spans="1:12" ht="29.4" thickTop="1">
      <c r="A7" s="45"/>
      <c r="B7" s="48">
        <v>1</v>
      </c>
      <c r="C7" s="49" t="s">
        <v>83</v>
      </c>
      <c r="D7" s="54" t="s">
        <v>84</v>
      </c>
      <c r="E7" s="50" t="s">
        <v>85</v>
      </c>
      <c r="F7" s="53" t="s">
        <v>42</v>
      </c>
      <c r="G7" s="49" t="s">
        <v>89</v>
      </c>
      <c r="H7" s="48" t="s">
        <v>44</v>
      </c>
      <c r="I7" s="45"/>
    </row>
    <row r="8" spans="1:12" ht="144">
      <c r="A8" s="45"/>
      <c r="B8" s="55">
        <v>2</v>
      </c>
      <c r="C8" s="51" t="s">
        <v>86</v>
      </c>
      <c r="D8" s="77" t="s">
        <v>88</v>
      </c>
      <c r="E8" s="52" t="s">
        <v>91</v>
      </c>
      <c r="F8" s="53" t="s">
        <v>42</v>
      </c>
      <c r="G8" s="51" t="s">
        <v>90</v>
      </c>
      <c r="H8" s="55" t="s">
        <v>44</v>
      </c>
      <c r="I8" s="45"/>
    </row>
    <row r="9" spans="1:12" ht="63.6" customHeight="1">
      <c r="A9" s="45"/>
      <c r="B9" s="48">
        <v>3</v>
      </c>
      <c r="C9" s="49" t="s">
        <v>43</v>
      </c>
      <c r="D9" s="54" t="s">
        <v>87</v>
      </c>
      <c r="E9" s="50" t="s">
        <v>92</v>
      </c>
      <c r="F9" s="53" t="s">
        <v>42</v>
      </c>
      <c r="G9" s="49" t="s">
        <v>93</v>
      </c>
      <c r="H9" s="55" t="s">
        <v>44</v>
      </c>
      <c r="I9" s="45"/>
    </row>
    <row r="10" spans="1:12" ht="100.8">
      <c r="A10" s="45"/>
      <c r="B10" s="48">
        <v>4</v>
      </c>
      <c r="C10" s="51" t="s">
        <v>96</v>
      </c>
      <c r="D10" s="54" t="s">
        <v>87</v>
      </c>
      <c r="E10" s="52" t="s">
        <v>97</v>
      </c>
      <c r="F10" s="53" t="s">
        <v>42</v>
      </c>
      <c r="G10" s="51" t="s">
        <v>100</v>
      </c>
      <c r="H10" s="55" t="s">
        <v>44</v>
      </c>
      <c r="I10" s="45"/>
    </row>
    <row r="11" spans="1:12" ht="230.4">
      <c r="A11" s="45"/>
      <c r="B11" s="48">
        <v>5</v>
      </c>
      <c r="C11" s="51" t="s">
        <v>94</v>
      </c>
      <c r="D11" s="54" t="s">
        <v>95</v>
      </c>
      <c r="E11" s="52" t="s">
        <v>98</v>
      </c>
      <c r="F11" s="53" t="s">
        <v>42</v>
      </c>
      <c r="G11" s="51" t="s">
        <v>99</v>
      </c>
      <c r="H11" s="55" t="s">
        <v>44</v>
      </c>
      <c r="I11" s="45"/>
    </row>
    <row r="12" spans="1:12" ht="230.4">
      <c r="A12" s="45"/>
      <c r="B12" s="48">
        <v>6</v>
      </c>
      <c r="C12" s="51" t="s">
        <v>94</v>
      </c>
      <c r="D12" s="54" t="s">
        <v>95</v>
      </c>
      <c r="E12" s="52" t="s">
        <v>98</v>
      </c>
      <c r="F12" s="53" t="s">
        <v>42</v>
      </c>
      <c r="G12" s="51" t="s">
        <v>99</v>
      </c>
      <c r="H12" s="55" t="s">
        <v>44</v>
      </c>
      <c r="I12" s="45"/>
      <c r="L12" s="46"/>
    </row>
    <row r="13" spans="1:12" ht="20.100000000000001" customHeight="1">
      <c r="A13" s="45"/>
      <c r="B13" s="45"/>
      <c r="C13" s="45"/>
      <c r="D13" s="45"/>
      <c r="E13" s="45"/>
      <c r="G13" s="45"/>
      <c r="H13" s="45"/>
      <c r="I13" s="45"/>
    </row>
    <row r="14" spans="1:12" ht="20.100000000000001" customHeight="1">
      <c r="F14" s="56"/>
    </row>
  </sheetData>
  <autoFilter ref="B6:H12" xr:uid="{4B5F9CD1-02E8-441A-AAB3-A6C2C61D09F9}"/>
  <mergeCells count="1">
    <mergeCell ref="B4:I4"/>
  </mergeCells>
  <dataValidations count="1">
    <dataValidation type="list" allowBlank="1" showInputMessage="1" showErrorMessage="1" sqref="H7:H12" xr:uid="{4EB7B698-5223-40AB-9DC5-3801A58EFB69}">
      <formula1>"Open, Closed"</formula1>
    </dataValidation>
  </dataValidations>
  <printOptions horizontalCentered="1"/>
  <pageMargins left="0" right="0" top="0.19685039370078741" bottom="0" header="0" footer="0"/>
  <pageSetup paperSize="9" scale="63" fitToHeight="0" orientation="landscape" r:id="rId1"/>
  <headerFooter>
    <oddFooter>&amp;C&amp;"Candara,Regular"&amp;11&amp;A</oddFooter>
  </headerFooter>
  <colBreaks count="1" manualBreakCount="1">
    <brk id="9" max="1048575" man="1"/>
  </col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358CDC6B8C1447B1B542AC5F0639D6" ma:contentTypeVersion="12" ma:contentTypeDescription="Create a new document." ma:contentTypeScope="" ma:versionID="b0d8a3e7e4f607dc468da5a9c589f285">
  <xsd:schema xmlns:xsd="http://www.w3.org/2001/XMLSchema" xmlns:xs="http://www.w3.org/2001/XMLSchema" xmlns:p="http://schemas.microsoft.com/office/2006/metadata/properties" xmlns:ns2="199ecbc3-0168-44f0-a28d-7982938d4cff" xmlns:ns3="414284d3-b81a-477d-be6f-a5da74d7c1d5" targetNamespace="http://schemas.microsoft.com/office/2006/metadata/properties" ma:root="true" ma:fieldsID="db54b57585451012bb5f040698ffac5a" ns2:_="" ns3:_="">
    <xsd:import namespace="199ecbc3-0168-44f0-a28d-7982938d4cff"/>
    <xsd:import namespace="414284d3-b81a-477d-be6f-a5da74d7c1d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OpportunityNa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9ecbc3-0168-44f0-a28d-7982938d4cf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ff67281-f08c-41a0-8abc-c7c0b8847256"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OpportunityName" ma:index="19" nillable="true" ma:displayName="Opportunity Name" ma:format="Dropdown" ma:internalName="OpportunityNam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14284d3-b81a-477d-be6f-a5da74d7c1d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0bbe471-2e04-493e-8f60-db5f5804d588}" ma:internalName="TaxCatchAll" ma:showField="CatchAllData" ma:web="414284d3-b81a-477d-be6f-a5da74d7c1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9ecbc3-0168-44f0-a28d-7982938d4cff">
      <Terms xmlns="http://schemas.microsoft.com/office/infopath/2007/PartnerControls"/>
    </lcf76f155ced4ddcb4097134ff3c332f>
    <TaxCatchAll xmlns="414284d3-b81a-477d-be6f-a5da74d7c1d5" xsi:nil="true"/>
    <OpportunityName xmlns="199ecbc3-0168-44f0-a28d-7982938d4cff" xsi:nil="true"/>
  </documentManagement>
</p:properties>
</file>

<file path=customXml/itemProps1.xml><?xml version="1.0" encoding="utf-8"?>
<ds:datastoreItem xmlns:ds="http://schemas.openxmlformats.org/officeDocument/2006/customXml" ds:itemID="{8FFF2695-3264-490D-9741-0AF0ABE16A10}">
  <ds:schemaRefs>
    <ds:schemaRef ds:uri="http://schemas.microsoft.com/sharepoint/v3/contenttype/forms"/>
  </ds:schemaRefs>
</ds:datastoreItem>
</file>

<file path=customXml/itemProps2.xml><?xml version="1.0" encoding="utf-8"?>
<ds:datastoreItem xmlns:ds="http://schemas.openxmlformats.org/officeDocument/2006/customXml" ds:itemID="{FA3F5F63-6147-447E-8EE1-B6E1E862F8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9ecbc3-0168-44f0-a28d-7982938d4cff"/>
    <ds:schemaRef ds:uri="414284d3-b81a-477d-be6f-a5da74d7c1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BCD663-FBF7-47CE-9048-BB29873401A1}">
  <ds:schemaRefs>
    <ds:schemaRef ds:uri="414284d3-b81a-477d-be6f-a5da74d7c1d5"/>
    <ds:schemaRef ds:uri="http://schemas.openxmlformats.org/package/2006/metadata/core-properties"/>
    <ds:schemaRef ds:uri="http://schemas.microsoft.com/office/2006/metadata/properties"/>
    <ds:schemaRef ds:uri="http://purl.org/dc/terms/"/>
    <ds:schemaRef ds:uri="http://schemas.microsoft.com/office/2006/documentManagement/types"/>
    <ds:schemaRef ds:uri="http://www.w3.org/XML/1998/namespace"/>
    <ds:schemaRef ds:uri="http://purl.org/dc/dcmitype/"/>
    <ds:schemaRef ds:uri="http://purl.org/dc/elements/1.1/"/>
    <ds:schemaRef ds:uri="http://schemas.microsoft.com/office/infopath/2007/PartnerControls"/>
    <ds:schemaRef ds:uri="199ecbc3-0168-44f0-a28d-7982938d4cf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vt:i4>
      </vt:variant>
    </vt:vector>
  </HeadingPairs>
  <TitlesOfParts>
    <vt:vector size="14" baseType="lpstr">
      <vt:lpstr>Cover Letter</vt:lpstr>
      <vt:lpstr>Signal List</vt:lpstr>
      <vt:lpstr>Rack Layout</vt:lpstr>
      <vt:lpstr>Priced BoQ</vt:lpstr>
      <vt:lpstr>Compliance Table</vt:lpstr>
      <vt:lpstr>'Compliance Table'!Print_Area</vt:lpstr>
      <vt:lpstr>'Cover Letter'!Print_Area</vt:lpstr>
      <vt:lpstr>'Priced BoQ'!Print_Area</vt:lpstr>
      <vt:lpstr>'Rack Layout'!Print_Area</vt:lpstr>
      <vt:lpstr>'Signal List'!Print_Area</vt:lpstr>
      <vt:lpstr>'Compliance Table'!Print_Titles</vt:lpstr>
      <vt:lpstr>'Priced BoQ'!Print_Titles</vt:lpstr>
      <vt:lpstr>'Rack Layout'!Print_Titles</vt:lpstr>
      <vt:lpstr>'Signal List'!Print_Titles</vt:lpstr>
    </vt:vector>
  </TitlesOfParts>
  <Manager/>
  <Company>Meggitt India Private Limited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Rahul Patel</dc:creator>
  <cp:keywords/>
  <dc:description/>
  <cp:lastModifiedBy>Ruthvik Satish</cp:lastModifiedBy>
  <cp:revision/>
  <cp:lastPrinted>2026-08-13T11:17:15Z</cp:lastPrinted>
  <dcterms:created xsi:type="dcterms:W3CDTF">2008-12-12T10:34:15Z</dcterms:created>
  <dcterms:modified xsi:type="dcterms:W3CDTF">2026-08-14T08:41:10Z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0x0101001B358CDC6B8C1447B1B542AC5F0639D6</vt:lpwstr>
  </property>
  <property fmtid="{D5CDD505-2E9C-101B-9397-08002B2CF9AE}" pid="3" name="MediaServiceImageTags">
    <vt:lpwstr/>
  </property>
</Properties>
</file>