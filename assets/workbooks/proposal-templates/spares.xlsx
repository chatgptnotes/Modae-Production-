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showObjects="placeholders" codeName="ThisWorkbook" defaultThemeVersion="124226"/>
  <mc:AlternateContent xmlns:mc="http://schemas.openxmlformats.org/markup-compatibility/2006">
    <mc:Choice Requires="x15">
      <x15ac:absPath xmlns:x15ac="http://schemas.microsoft.com/office/spreadsheetml/2010/11/ac" url="https://modaeindia-my.sharepoint.com/personal/ruthvik_satish_mod-ae_com/Documents/Desktop/Betser Docs for Information Transfer/Further Inputs/Proposals T&amp;Cs &amp; Service Rate Sheet/Spares Opp-1 (Won almost)/"/>
    </mc:Choice>
  </mc:AlternateContent>
  <xr:revisionPtr revIDLastSave="2949" documentId="8_{D1044480-F111-D845-8D6C-9BA9EB7222DE}" xr6:coauthVersionLast="47" xr6:coauthVersionMax="47" xr10:uidLastSave="{536F545F-B32A-4706-98E3-0DE5BEC8D616}"/>
  <bookViews>
    <workbookView xWindow="-108" yWindow="-108" windowWidth="23256" windowHeight="13896" tabRatio="668" xr2:uid="{00000000-000D-0000-FFFF-FFFF00000000}"/>
  </bookViews>
  <sheets>
    <sheet name="Cover Letter" sheetId="94" r:id="rId1"/>
    <sheet name="Firm Rev-00" sheetId="95" r:id="rId2"/>
  </sheets>
  <externalReferences>
    <externalReference r:id="rId3"/>
    <externalReference r:id="rId4"/>
    <externalReference r:id="rId5"/>
    <externalReference r:id="rId6"/>
    <externalReference r:id="rId7"/>
    <externalReference r:id="rId8"/>
    <externalReference r:id="rId9"/>
    <externalReference r:id="rId10"/>
  </externalReferences>
  <definedNames>
    <definedName name="\A" localSheetId="0">#REF!</definedName>
    <definedName name="\A">#REF!</definedName>
    <definedName name="\P" localSheetId="0">#REF!</definedName>
    <definedName name="\P">#REF!</definedName>
    <definedName name="\Q" localSheetId="0">#REF!</definedName>
    <definedName name="\Q">#REF!</definedName>
    <definedName name="_FIN2" localSheetId="0">#REF!</definedName>
    <definedName name="_FIN2">#REF!</definedName>
    <definedName name="_Order1" hidden="1">255</definedName>
    <definedName name="_Order2" hidden="1">255</definedName>
    <definedName name="_REP01" localSheetId="0">#REF!</definedName>
    <definedName name="_REP01">#REF!</definedName>
    <definedName name="_REP02" localSheetId="0">#REF!</definedName>
    <definedName name="_REP02">#REF!</definedName>
    <definedName name="_REP03">#REF!</definedName>
    <definedName name="_REP04">#REF!</definedName>
    <definedName name="a" localSheetId="0" hidden="1">{#N/A,#N/A,FALSE,"BIDS";#N/A,#N/A,FALSE,"GEN"}</definedName>
    <definedName name="a" localSheetId="1" hidden="1">{#N/A,#N/A,FALSE,"BIDS";#N/A,#N/A,FALSE,"GEN"}</definedName>
    <definedName name="a" hidden="1">{#N/A,#N/A,FALSE,"BIDS";#N/A,#N/A,FALSE,"GEN"}</definedName>
    <definedName name="AI_HART">#REF!</definedName>
    <definedName name="AXIAL">#REF!</definedName>
    <definedName name="b" localSheetId="0">[1]PL!#REF!</definedName>
    <definedName name="b" localSheetId="1">[1]PL!#REF!</definedName>
    <definedName name="b">[2]PL!#REF!</definedName>
    <definedName name="BASECONTRA" localSheetId="0">#REF!</definedName>
    <definedName name="BASECONTRA">#REF!</definedName>
    <definedName name="BORDER2" localSheetId="0">#REF!</definedName>
    <definedName name="BORDER2">#REF!</definedName>
    <definedName name="BORDER3" localSheetId="0">#REF!</definedName>
    <definedName name="BORDER3">#REF!</definedName>
    <definedName name="CANAL_CASC._C.C">#REF!</definedName>
    <definedName name="CANAL_CASC._F.L">#REF!</definedName>
    <definedName name="CHANGE">#REF!</definedName>
    <definedName name="CLIENT" localSheetId="0">[3]Titles!$A$20</definedName>
    <definedName name="CLIENT">[3]Titles!$A$20</definedName>
    <definedName name="CM" localSheetId="0">#REF!</definedName>
    <definedName name="CM" localSheetId="1">#REF!</definedName>
    <definedName name="CM">#REF!</definedName>
    <definedName name="Code_Unit_02" localSheetId="0">#REF!</definedName>
    <definedName name="Code_Unit_02">#REF!</definedName>
    <definedName name="Code_Unit_03">#REF!</definedName>
    <definedName name="Code_Unit_04">#REF!</definedName>
    <definedName name="Code_Unit_05">#REF!</definedName>
    <definedName name="Code_Unit_06">#REF!</definedName>
    <definedName name="Code_Unit_07">#REF!</definedName>
    <definedName name="Code_Unit_08">#REF!</definedName>
    <definedName name="Code_Unit_09">#REF!</definedName>
    <definedName name="Code_Unit_10">#REF!</definedName>
    <definedName name="Code_Unit_11">#REF!</definedName>
    <definedName name="Code_Unit_12">#REF!</definedName>
    <definedName name="Code_Unit_13">#REF!</definedName>
    <definedName name="Code_Unit_14">#REF!</definedName>
    <definedName name="Coefficient_Breakeven" localSheetId="0">#REF!</definedName>
    <definedName name="Coefficient_Breakeven" localSheetId="1">#REF!</definedName>
    <definedName name="Coefficient_Breakeven">#REF!</definedName>
    <definedName name="COPIE">#REF!</definedName>
    <definedName name="COPIE2">#REF!</definedName>
    <definedName name="cvu" localSheetId="0">[3]Titles!$A$34</definedName>
    <definedName name="cvu">[3]Titles!$A$34</definedName>
    <definedName name="d" localSheetId="0">[1]PL!#REF!</definedName>
    <definedName name="d" localSheetId="1">[1]PL!#REF!</definedName>
    <definedName name="d">[2]PL!#REF!</definedName>
    <definedName name="_xlnm.Database" localSheetId="0">#REF!</definedName>
    <definedName name="_xlnm.Database">#REF!</definedName>
    <definedName name="DAVID" localSheetId="0">#REF!</definedName>
    <definedName name="DAVID">#REF!</definedName>
    <definedName name="DEL_TERMS" localSheetId="0">#REF!</definedName>
    <definedName name="DEL_TERMS">#REF!</definedName>
    <definedName name="DicountVM" localSheetId="0">#REF!</definedName>
    <definedName name="DicountVM">#REF!</definedName>
    <definedName name="Discount" localSheetId="0">#REF!</definedName>
    <definedName name="Discount" localSheetId="1">#REF!</definedName>
    <definedName name="Discount">#REF!</definedName>
    <definedName name="DO">#REF!</definedName>
    <definedName name="DOC_NO" localSheetId="0">[3]Titles!$A$22</definedName>
    <definedName name="DOC_NO">[3]Titles!$A$22</definedName>
    <definedName name="e" localSheetId="0">[1]PL!#REF!</definedName>
    <definedName name="e" localSheetId="1">[1]PL!#REF!</definedName>
    <definedName name="e">[2]PL!#REF!</definedName>
    <definedName name="EDIFICIO_10" localSheetId="0">#REF!</definedName>
    <definedName name="EDIFICIO_10">#REF!</definedName>
    <definedName name="EDIFICIO_11" localSheetId="0">#REF!</definedName>
    <definedName name="EDIFICIO_11">#REF!</definedName>
    <definedName name="EDIFICIO_15" localSheetId="0">#REF!</definedName>
    <definedName name="EDIFICIO_15">#REF!</definedName>
    <definedName name="EDIFICIO_16">#REF!</definedName>
    <definedName name="EDIFICIO_18">#REF!</definedName>
    <definedName name="EDIFICIO_20">#REF!</definedName>
    <definedName name="EDIFICIO_30">#REF!</definedName>
    <definedName name="EMPRESA_1">#REF!</definedName>
    <definedName name="EMPRESA_2">#REF!</definedName>
    <definedName name="EMPRESA_3">#REF!</definedName>
    <definedName name="EMPRESA_4">#REF!</definedName>
    <definedName name="EMPRESA_5">#REF!</definedName>
    <definedName name="Erect_Unit_02">#REF!</definedName>
    <definedName name="Erect_Unit_03">#REF!</definedName>
    <definedName name="Erect_Unit_04">#REF!</definedName>
    <definedName name="Erect_Unit_05">#REF!</definedName>
    <definedName name="Erect_Unit_06">#REF!</definedName>
    <definedName name="Erect_Unit_07">#REF!</definedName>
    <definedName name="Erect_Unit_08">#REF!</definedName>
    <definedName name="Erect_Unit_09">#REF!</definedName>
    <definedName name="Erect_Unit_10">#REF!</definedName>
    <definedName name="Erect_Unit_11">#REF!</definedName>
    <definedName name="Erect_Unit_12">#REF!</definedName>
    <definedName name="Erect_Unit_13">#REF!</definedName>
    <definedName name="Erect_Unit_14">#REF!</definedName>
    <definedName name="EURO_Rate" localSheetId="0">#REF!</definedName>
    <definedName name="EURO_Rate">#REF!</definedName>
    <definedName name="Euro_Rate1_CHF" localSheetId="0">#REF!</definedName>
    <definedName name="Euro_Rate1_CHF" localSheetId="1">#REF!</definedName>
    <definedName name="Euro_Rate1_CHF">#REF!</definedName>
    <definedName name="Euro_Rate1_USD" localSheetId="0">#REF!</definedName>
    <definedName name="Euro_Rate1_USD" localSheetId="1">#REF!</definedName>
    <definedName name="Euro_Rate1_USD">#REF!</definedName>
    <definedName name="EURO_Rate2" localSheetId="0">#REF!</definedName>
    <definedName name="EURO_Rate2" localSheetId="1">#REF!</definedName>
    <definedName name="EURO_Rate2">#REF!</definedName>
    <definedName name="Euro_Rate2_CHF" localSheetId="0">#REF!</definedName>
    <definedName name="Euro_Rate2_CHF" localSheetId="1">#REF!</definedName>
    <definedName name="Euro_Rate2_CHF">#REF!</definedName>
    <definedName name="Euro_Rate2_USD" localSheetId="0">#REF!</definedName>
    <definedName name="Euro_Rate2_USD" localSheetId="1">#REF!</definedName>
    <definedName name="Euro_Rate2_USD">#REF!</definedName>
    <definedName name="EURO_Rate3" localSheetId="0">#REF!</definedName>
    <definedName name="EURO_Rate3" localSheetId="1">#REF!</definedName>
    <definedName name="EURO_Rate3">#REF!</definedName>
    <definedName name="Euro_Rate3_CHF" localSheetId="0">#REF!</definedName>
    <definedName name="Euro_Rate3_CHF" localSheetId="1">#REF!</definedName>
    <definedName name="Euro_Rate3_CHF">#REF!</definedName>
    <definedName name="FIN">#REF!</definedName>
    <definedName name="FLOW">#REF!</definedName>
    <definedName name="ga">#REF!</definedName>
    <definedName name="Gas" localSheetId="0">#REF!</definedName>
    <definedName name="Gas" localSheetId="1">#REF!</definedName>
    <definedName name="Gas">#REF!</definedName>
    <definedName name="GE_Monthly_Rate" localSheetId="0">'[4]Customer Information'!$K$11</definedName>
    <definedName name="GE_Monthly_Rate" localSheetId="1">'[4]Customer Information'!$K$11</definedName>
    <definedName name="GE_Monthly_Rate">'[5]Customer Information'!$K$11</definedName>
    <definedName name="Generator" localSheetId="0">#REF!</definedName>
    <definedName name="Generator" localSheetId="1">#REF!</definedName>
    <definedName name="Generator">#REF!</definedName>
    <definedName name="h" localSheetId="0">[1]PL!#REF!</definedName>
    <definedName name="h">[1]PL!#REF!</definedName>
    <definedName name="HORNO_TUNEL" localSheetId="0">#REF!</definedName>
    <definedName name="HORNO_TUNEL">#REF!</definedName>
    <definedName name="HTML_CodePage" hidden="1">1252</definedName>
    <definedName name="HTML_Control" localSheetId="0" hidden="1">{"'Foglio1'!$A$14:$Q$133","'Foglio1'!$A$1:$BI$150"}</definedName>
    <definedName name="HTML_Control" localSheetId="1" hidden="1">{"'Foglio1'!$A$14:$Q$133","'Foglio1'!$A$1:$BI$150"}</definedName>
    <definedName name="HTML_Control" hidden="1">{"'Foglio1'!$A$14:$Q$133","'Foglio1'!$A$1:$BI$150"}</definedName>
    <definedName name="HTML_Description" hidden="1">""</definedName>
    <definedName name="HTML_Email" hidden="1">""</definedName>
    <definedName name="HTML_Header" hidden="1">"Foglio1"</definedName>
    <definedName name="HTML_LastUpdate" hidden="1">"15/02/02"</definedName>
    <definedName name="HTML_LineAfter" hidden="1">TRUE</definedName>
    <definedName name="HTML_LineBefore" hidden="1">TRUE</definedName>
    <definedName name="HTML_Name" hidden="1">"..."</definedName>
    <definedName name="HTML_OBDlg2" hidden="1">TRUE</definedName>
    <definedName name="HTML_OBDlg4" hidden="1">TRUE</definedName>
    <definedName name="HTML_OS" hidden="1">0</definedName>
    <definedName name="HTML_PathFile" hidden="1">"C:\WINDOWS\Desktop\MioHTML.htm"</definedName>
    <definedName name="HTML_Title" hidden="1">"D"</definedName>
    <definedName name="INDEX">#REF!</definedName>
    <definedName name="J">#REF!</definedName>
    <definedName name="K">#REF!</definedName>
    <definedName name="KPH">#REF!</definedName>
    <definedName name="LEVE">#REF!</definedName>
    <definedName name="luInnerSealType" localSheetId="0">[6]Units!$A$1028:$A$2572</definedName>
    <definedName name="luInnerSealType">[6]Units!$A$1028:$A$2572</definedName>
    <definedName name="luPipingPlans" localSheetId="0">[6]Units!$A$87:$A$269</definedName>
    <definedName name="luPipingPlans">[6]Units!$A$87:$A$269</definedName>
    <definedName name="luSealAPICode" localSheetId="0">[6]Units!$A$271:$A$1026</definedName>
    <definedName name="luSealAPICode">[6]Units!$A$271:$A$1026</definedName>
    <definedName name="MISC" localSheetId="0">#REF!</definedName>
    <definedName name="MISC">#REF!</definedName>
    <definedName name="mod" localSheetId="0">[3]Titles!$A$24</definedName>
    <definedName name="mod">[3]Titles!$A$24</definedName>
    <definedName name="MORTERO_PILAR" localSheetId="0">#REF!</definedName>
    <definedName name="MORTERO_PILAR">#REF!</definedName>
    <definedName name="O" localSheetId="0">#REF!</definedName>
    <definedName name="O">#REF!</definedName>
    <definedName name="OFERTANTES" localSheetId="0">#REF!</definedName>
    <definedName name="OFERTANTES">#REF!</definedName>
    <definedName name="p">#REF!</definedName>
    <definedName name="P.TOTAL">#REF!</definedName>
    <definedName name="PAGE">#REF!</definedName>
    <definedName name="PAGENB">#REF!</definedName>
    <definedName name="PAVIMENTOS">#REF!</definedName>
    <definedName name="PLANT" localSheetId="0">[3]Titles!$A$19</definedName>
    <definedName name="PLANT">[3]Titles!$A$19</definedName>
    <definedName name="PRES" localSheetId="0">#REF!</definedName>
    <definedName name="PRES">#REF!</definedName>
    <definedName name="Price_Unit_02" localSheetId="0">#REF!</definedName>
    <definedName name="Price_Unit_02">#REF!</definedName>
    <definedName name="Price_Unit_03" localSheetId="0">#REF!</definedName>
    <definedName name="Price_Unit_03">#REF!</definedName>
    <definedName name="Price_Unit_04">#REF!</definedName>
    <definedName name="Price_Unit_05">#REF!</definedName>
    <definedName name="Price_Unit_06">#REF!</definedName>
    <definedName name="Price_Unit_07">#REF!</definedName>
    <definedName name="Price_Unit_08">#REF!</definedName>
    <definedName name="Price_Unit_09">#REF!</definedName>
    <definedName name="Price_Unit_10">#REF!</definedName>
    <definedName name="Price_Unit_11">#REF!</definedName>
    <definedName name="Price_Unit_12">#REF!</definedName>
    <definedName name="Price_Unit_13">#REF!</definedName>
    <definedName name="Price_Unit_14">#REF!</definedName>
    <definedName name="_xlnm.Print_Area" localSheetId="0">'Cover Letter'!$A$1:$R$27</definedName>
    <definedName name="_xlnm.Print_Area" localSheetId="1">'Firm Rev-00'!$A$1:$H$32</definedName>
    <definedName name="PRINT1" localSheetId="0">#REF!</definedName>
    <definedName name="PRINT1">#REF!</definedName>
    <definedName name="PRINT2" localSheetId="0">#REF!</definedName>
    <definedName name="PRINT2">#REF!</definedName>
    <definedName name="PRINT3" localSheetId="0">#REF!</definedName>
    <definedName name="PRINT3">#REF!</definedName>
    <definedName name="PRINT4">#REF!</definedName>
    <definedName name="PROJECT" localSheetId="0">[3]Titles!$A$21</definedName>
    <definedName name="PROJECT">[3]Titles!$A$21</definedName>
    <definedName name="pu" localSheetId="0">[3]Titles!$A$28</definedName>
    <definedName name="pu">[3]Titles!$A$28</definedName>
    <definedName name="PURCH_GROUP_DESC" localSheetId="0">#REF!</definedName>
    <definedName name="PURCH_GROUP_DESC">#REF!</definedName>
    <definedName name="PURCH_PART" localSheetId="0">#REF!</definedName>
    <definedName name="PURCH_PART">#REF!</definedName>
    <definedName name="PURCH_PARTS" localSheetId="0">#REF!</definedName>
    <definedName name="PURCH_PARTS">#REF!</definedName>
    <definedName name="PURCHASE_GROUP">#REF!</definedName>
    <definedName name="PURCHASE_GROUPS">#REF!</definedName>
    <definedName name="PURCHASE_PART">#REF!</definedName>
    <definedName name="PURCHASE_PARTS">#REF!</definedName>
    <definedName name="Qty_Unit_02">#REF!</definedName>
    <definedName name="Qty_Unit_03">#REF!</definedName>
    <definedName name="Qty_Unit_04">#REF!</definedName>
    <definedName name="Qty_Unit_05">#REF!</definedName>
    <definedName name="Qty_Unit_06">#REF!</definedName>
    <definedName name="Qty_Unit_07">#REF!</definedName>
    <definedName name="Qty_Unit_08">#REF!</definedName>
    <definedName name="Qty_Unit_09">#REF!</definedName>
    <definedName name="Qty_Unit_10">#REF!</definedName>
    <definedName name="Qty_Unit_11">#REF!</definedName>
    <definedName name="Qty_Unit_12">#REF!</definedName>
    <definedName name="Qty_Unit_13">#REF!</definedName>
    <definedName name="Qty_Unit_14">#REF!</definedName>
    <definedName name="RADIAL">#REF!</definedName>
    <definedName name="RANGE01">#REF!</definedName>
    <definedName name="RANGE02">#REF!</definedName>
    <definedName name="RANGE03">#REF!</definedName>
    <definedName name="RESUMEN">#REF!</definedName>
    <definedName name="REV" localSheetId="0">[3]FRONTE!$AE$56</definedName>
    <definedName name="REV">[3]FRONTE!$AE$56</definedName>
    <definedName name="ROD_DROP" localSheetId="0">#REF!</definedName>
    <definedName name="ROD_DROP">#REF!</definedName>
    <definedName name="RTD" localSheetId="0">#REF!</definedName>
    <definedName name="RTD">#REF!</definedName>
    <definedName name="s" localSheetId="0">[1]PL!#REF!</definedName>
    <definedName name="s" localSheetId="1">[1]PL!#REF!</definedName>
    <definedName name="s">[2]PL!#REF!</definedName>
    <definedName name="SEISMIC" localSheetId="0">#REF!</definedName>
    <definedName name="SEISMIC">#REF!</definedName>
    <definedName name="SHEET" localSheetId="0">[3]Titles!$A$23</definedName>
    <definedName name="SHEET">[3]Titles!$A$23</definedName>
    <definedName name="Steam" localSheetId="0">#REF!</definedName>
    <definedName name="Steam" localSheetId="1">#REF!</definedName>
    <definedName name="Steam">#REF!</definedName>
    <definedName name="Summary">[1]PL!#REF!</definedName>
    <definedName name="SYSTEM" localSheetId="0">#REF!</definedName>
    <definedName name="SYSTEM">#REF!</definedName>
    <definedName name="t" localSheetId="0">[1]PL!#REF!</definedName>
    <definedName name="t" localSheetId="1">[1]PL!#REF!</definedName>
    <definedName name="t">[2]PL!#REF!</definedName>
    <definedName name="T._CILINDROS" localSheetId="0">#REF!</definedName>
    <definedName name="T._CILINDROS">#REF!</definedName>
    <definedName name="tab" localSheetId="0">#REF!</definedName>
    <definedName name="tab">#REF!</definedName>
    <definedName name="table1" localSheetId="0">#REF!</definedName>
    <definedName name="table1">#REF!</definedName>
    <definedName name="table2">#REF!</definedName>
    <definedName name="table3">#REF!</definedName>
    <definedName name="table4">#REF!</definedName>
    <definedName name="test">#REF!</definedName>
    <definedName name="test1">#REF!</definedName>
    <definedName name="test3">[7]UoM!$A$2:$A$8</definedName>
    <definedName name="tra">[8]PL!#REF!</definedName>
    <definedName name="Trans" localSheetId="0">#REF!</definedName>
    <definedName name="Trans">#REF!</definedName>
    <definedName name="Trans_101283_AATable" localSheetId="0">[1]PL!#REF!</definedName>
    <definedName name="Trans_101283_AATable" localSheetId="1">[1]PL!#REF!</definedName>
    <definedName name="Trans_101283_AATable">[2]PL!#REF!</definedName>
    <definedName name="Trans_134577_AATable" localSheetId="0">[1]PL!#REF!</definedName>
    <definedName name="Trans_134577_AATable" localSheetId="1">[1]PL!#REF!</definedName>
    <definedName name="Trans_134577_AATable">[2]PL!#REF!</definedName>
    <definedName name="Trans_134835_AATable" localSheetId="0">[1]PL!#REF!</definedName>
    <definedName name="Trans_134835_AATable" localSheetId="1">[1]PL!#REF!</definedName>
    <definedName name="Trans_134835_AATable">[2]PL!#REF!</definedName>
    <definedName name="Trans_136540_AATable" localSheetId="0">[1]PL!#REF!</definedName>
    <definedName name="Trans_136540_AATable" localSheetId="1">[1]PL!#REF!</definedName>
    <definedName name="Trans_136540_AATable">[2]PL!#REF!</definedName>
    <definedName name="Trans_137936_AATable" localSheetId="0">[1]PL!#REF!</definedName>
    <definedName name="Trans_137936_AATable" localSheetId="1">[1]PL!#REF!</definedName>
    <definedName name="Trans_137936_AATable">[2]PL!#REF!</definedName>
    <definedName name="Trans_137937_AATable" localSheetId="0">[1]PL!#REF!</definedName>
    <definedName name="Trans_137937_AATable" localSheetId="1">[1]PL!#REF!</definedName>
    <definedName name="Trans_137937_AATable">[2]PL!#REF!</definedName>
    <definedName name="Trans_138724_AATable" localSheetId="0">[1]PL!#REF!</definedName>
    <definedName name="Trans_138724_AATable" localSheetId="1">[1]PL!#REF!</definedName>
    <definedName name="Trans_138724_AATable">[2]PL!#REF!</definedName>
    <definedName name="Trans_138730_AATable" localSheetId="0">[1]PL!#REF!</definedName>
    <definedName name="Trans_138730_AATable" localSheetId="1">[1]PL!#REF!</definedName>
    <definedName name="Trans_138730_AATable">[2]PL!#REF!</definedName>
    <definedName name="Trans_138751_AATable" localSheetId="0">[1]PL!#REF!</definedName>
    <definedName name="Trans_138751_AATable" localSheetId="1">[1]PL!#REF!</definedName>
    <definedName name="Trans_138751_AATable">[2]PL!#REF!</definedName>
    <definedName name="Trans_147922_AATable" localSheetId="0">[1]PL!#REF!</definedName>
    <definedName name="Trans_147922_AATable" localSheetId="1">[1]PL!#REF!</definedName>
    <definedName name="Trans_147922_AATable">[2]PL!#REF!</definedName>
    <definedName name="Trans_148731_AATable" localSheetId="0">[1]PL!#REF!</definedName>
    <definedName name="Trans_148731_AATable" localSheetId="1">[1]PL!#REF!</definedName>
    <definedName name="Trans_148731_AATable">[2]PL!#REF!</definedName>
    <definedName name="Trans_148732_AATable" localSheetId="0">[1]PL!#REF!</definedName>
    <definedName name="Trans_148732_AATable" localSheetId="1">[1]PL!#REF!</definedName>
    <definedName name="Trans_148732_AATable">[2]PL!#REF!</definedName>
    <definedName name="Trans_161961_AATable" localSheetId="0">[1]PL!#REF!</definedName>
    <definedName name="Trans_161961_AATable" localSheetId="1">[1]PL!#REF!</definedName>
    <definedName name="Trans_161961_AATable">[2]PL!#REF!</definedName>
    <definedName name="Trans_163176_AATable" localSheetId="0">[1]PL!#REF!</definedName>
    <definedName name="Trans_163176_AATable" localSheetId="1">[1]PL!#REF!</definedName>
    <definedName name="Trans_163176_AATable">[2]PL!#REF!</definedName>
    <definedName name="Trans_164327_AATable" localSheetId="0">[1]PL!#REF!</definedName>
    <definedName name="Trans_164327_AATable" localSheetId="1">[1]PL!#REF!</definedName>
    <definedName name="Trans_164327_AATable">[2]PL!#REF!</definedName>
    <definedName name="Trans_164466_AATable" localSheetId="0">[1]PL!#REF!</definedName>
    <definedName name="Trans_164466_AATable" localSheetId="1">[1]PL!#REF!</definedName>
    <definedName name="Trans_164466_AATable">[2]PL!#REF!</definedName>
    <definedName name="Trans_330152_AATable" localSheetId="0">[1]PL!#REF!</definedName>
    <definedName name="Trans_330152_AATable" localSheetId="1">[1]PL!#REF!</definedName>
    <definedName name="Trans_330152_AATable">[2]PL!#REF!</definedName>
    <definedName name="Trans_330900_AATable" localSheetId="0">[1]PL!#REF!</definedName>
    <definedName name="Trans_330900_AATable" localSheetId="1">[1]PL!#REF!</definedName>
    <definedName name="Trans_330900_AATable">[2]PL!#REF!</definedName>
    <definedName name="tu" localSheetId="0">[3]Titles!$A$27</definedName>
    <definedName name="tu">[3]Titles!$A$27</definedName>
    <definedName name="U010_IO" localSheetId="0">#REF!</definedName>
    <definedName name="U010_IO">#REF!</definedName>
    <definedName name="U011_IO" localSheetId="0">#REF!</definedName>
    <definedName name="U011_IO">#REF!</definedName>
    <definedName name="U012_IO" localSheetId="0">#REF!</definedName>
    <definedName name="U012_IO">#REF!</definedName>
    <definedName name="U017_IO">#REF!</definedName>
    <definedName name="U019_IO">#REF!</definedName>
    <definedName name="U085_IO">#REF!</definedName>
    <definedName name="UNIT">#REF!</definedName>
    <definedName name="UoM">#REF!</definedName>
    <definedName name="us">#REF!</definedName>
    <definedName name="USD_Rate1_CHF" localSheetId="0">#REF!</definedName>
    <definedName name="USD_Rate1_CHF" localSheetId="1">#REF!</definedName>
    <definedName name="USD_Rate1_CHF">#REF!</definedName>
    <definedName name="USD_Rate2_CHF" localSheetId="0">#REF!</definedName>
    <definedName name="USD_Rate2_CHF" localSheetId="1">#REF!</definedName>
    <definedName name="USD_Rate2_CHF">#REF!</definedName>
    <definedName name="usuduhduhdu" hidden="1">{#N/A,#N/A,FALSE,"BIDS";#N/A,#N/A,FALSE,"GEN"}</definedName>
    <definedName name="V">#REF!</definedName>
    <definedName name="VIGA_RIOSTRA">#REF!</definedName>
    <definedName name="w" localSheetId="0">[1]PL!#REF!</definedName>
    <definedName name="w" localSheetId="1">[1]PL!#REF!</definedName>
    <definedName name="w">[2]PL!#REF!</definedName>
    <definedName name="wrn.PPW." localSheetId="0" hidden="1">{#N/A,#N/A,FALSE,"BIDS";#N/A,#N/A,FALSE,"GEN"}</definedName>
    <definedName name="wrn.PPW." localSheetId="1" hidden="1">{#N/A,#N/A,FALSE,"BIDS";#N/A,#N/A,FALSE,"GEN"}</definedName>
    <definedName name="wrn.PPW." hidden="1">{#N/A,#N/A,FALSE,"BIDS";#N/A,#N/A,FALSE,"GEN"}</definedName>
    <definedName name="x" localSheetId="0" hidden="1">{#N/A,#N/A,FALSE,"BIDS";#N/A,#N/A,FALSE,"GEN"}</definedName>
    <definedName name="x" localSheetId="1" hidden="1">{#N/A,#N/A,FALSE,"BIDS";#N/A,#N/A,FALSE,"GEN"}</definedName>
    <definedName name="x" hidden="1">{#N/A,#N/A,FALSE,"BIDS";#N/A,#N/A,FALSE,"GEN"}</definedName>
    <definedName name="xs">[8]PL!#REF!</definedName>
    <definedName name="y" localSheetId="0">[1]PL!#REF!</definedName>
    <definedName name="y" localSheetId="1">[1]PL!#REF!</definedName>
    <definedName name="y">[2]PL!#REF!</definedName>
    <definedName name="ZONA_10" localSheetId="0">#REF!</definedName>
    <definedName name="ZONA_10">#REF!</definedName>
    <definedName name="ZONA_2" localSheetId="0">#REF!</definedName>
    <definedName name="ZONA_2">#REF!</definedName>
    <definedName name="ZONA_3" localSheetId="0">#REF!</definedName>
    <definedName name="ZONA_3">#REF!</definedName>
    <definedName name="ZONA_4">#REF!</definedName>
    <definedName name="ZONA_5">#REF!</definedName>
    <definedName name="ZONA_6">#REF!</definedName>
    <definedName name="ZONA_8">#REF!</definedName>
    <definedName name="ZONA_9">#REF!</definedName>
    <definedName name="zu" localSheetId="0">[3]Titles!$A$32</definedName>
    <definedName name="zu">[3]Titles!$A$32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6" i="95" l="1"/>
  <c r="K3" i="95" l="1"/>
  <c r="C18" i="95" l="1"/>
  <c r="O17" i="95"/>
  <c r="O16" i="95"/>
  <c r="O15" i="95"/>
  <c r="O14" i="95"/>
  <c r="O13" i="95"/>
  <c r="O12" i="95"/>
  <c r="O11" i="95"/>
  <c r="O10" i="95"/>
  <c r="O18" i="95" l="1"/>
  <c r="O19" i="95" s="1"/>
  <c r="L13" i="95"/>
  <c r="L12" i="95"/>
  <c r="L17" i="95"/>
  <c r="L11" i="95"/>
  <c r="L10" i="95"/>
  <c r="L15" i="95"/>
  <c r="L14" i="95"/>
  <c r="L16" i="95"/>
  <c r="M16" i="95" l="1"/>
  <c r="M14" i="95"/>
  <c r="M15" i="95"/>
  <c r="M10" i="95"/>
  <c r="M11" i="95"/>
  <c r="M17" i="95"/>
  <c r="M12" i="95"/>
  <c r="M13" i="95"/>
  <c r="M18" i="95" l="1"/>
  <c r="M3" i="95" l="1"/>
  <c r="J15" i="95" l="1"/>
  <c r="K15" i="95" s="1"/>
  <c r="J14" i="95"/>
  <c r="J13" i="95"/>
  <c r="J17" i="95"/>
  <c r="J11" i="95"/>
  <c r="J16" i="95"/>
  <c r="J12" i="95"/>
  <c r="G15" i="95"/>
  <c r="J10" i="95" l="1"/>
  <c r="K10" i="95"/>
  <c r="G10" i="95"/>
  <c r="G16" i="95"/>
  <c r="G11" i="95"/>
  <c r="G17" i="95"/>
  <c r="K13" i="95"/>
  <c r="K14" i="95"/>
  <c r="G12" i="95"/>
  <c r="G14" i="95"/>
  <c r="K12" i="95"/>
  <c r="K16" i="95"/>
  <c r="K11" i="95"/>
  <c r="K17" i="95"/>
  <c r="G13" i="95"/>
  <c r="K18" i="95" l="1"/>
  <c r="F18" i="95"/>
</calcChain>
</file>

<file path=xl/sharedStrings.xml><?xml version="1.0" encoding="utf-8"?>
<sst xmlns="http://schemas.openxmlformats.org/spreadsheetml/2006/main" count="84" uniqueCount="75">
  <si>
    <t>Your Partners In Achieving Excellence</t>
  </si>
  <si>
    <t>Our Ref:</t>
  </si>
  <si>
    <t>2511096RS</t>
  </si>
  <si>
    <t>Bid Stage:</t>
  </si>
  <si>
    <t>Binding</t>
  </si>
  <si>
    <t>Bid Type:</t>
  </si>
  <si>
    <t>Priced</t>
  </si>
  <si>
    <t>Revision</t>
  </si>
  <si>
    <t>00</t>
  </si>
  <si>
    <t>Kind Attn:</t>
  </si>
  <si>
    <t>Subject:</t>
  </si>
  <si>
    <t>Project:</t>
  </si>
  <si>
    <t>Dear Sir,</t>
  </si>
  <si>
    <t>We are pleased to submit our techno-commercial offer for your perusal &amp; approval. We trust that it aligns with your specifications and sincerely hope it meets your requirements.
We request for your kind consideration to our enclosed offer &amp; are open for you to provide us with any feedback that may help us improve our offering or serve you better. It is our endeavour to work very closely with an esteemed organization like yours and we look forward to a long &amp; mutually rewarding relationship.
It is our Endeavour to work very closely with an esteemed organization like yours and we look forward to a long &amp; mutually rewarding relationship.
Please let us know in case you need any other information or details.</t>
  </si>
  <si>
    <r>
      <t xml:space="preserve">Best Regards
Ruthvik Satish
Solutions &amp; services engineer
VMS &amp; CMS Solutions
ModAE India Private Limited
Ph: +91 70228 45329
</t>
    </r>
    <r>
      <rPr>
        <sz val="12"/>
        <color rgb="FF3333FF"/>
        <rFont val="Candara"/>
        <family val="2"/>
      </rPr>
      <t xml:space="preserve">ruthvik.satish@mod-ae.com
</t>
    </r>
    <r>
      <rPr>
        <sz val="12"/>
        <rFont val="Candara"/>
        <family val="2"/>
      </rPr>
      <t xml:space="preserve">
</t>
    </r>
  </si>
  <si>
    <t>Imported Items Pricing &amp; Costing Factors</t>
  </si>
  <si>
    <t>Agreed target per email dated 15 Mar for 10 each qty</t>
  </si>
  <si>
    <t>Euro-₹ Base</t>
  </si>
  <si>
    <t>ModAE Costs</t>
  </si>
  <si>
    <t>Exch rate increase as on 2May2026</t>
  </si>
  <si>
    <t>B&amp;K Disc%</t>
  </si>
  <si>
    <t>Target Price</t>
  </si>
  <si>
    <t>New Target with exch rate increase</t>
  </si>
  <si>
    <t>CD+ Handl+ERV</t>
  </si>
  <si>
    <t>ModAE GM ₹</t>
  </si>
  <si>
    <t>Price for 5 addl extn cables</t>
  </si>
  <si>
    <r>
      <t>Eff. Rate-</t>
    </r>
    <r>
      <rPr>
        <sz val="10"/>
        <rFont val="Aptos Narrow"/>
        <family val="2"/>
      </rPr>
      <t>€</t>
    </r>
  </si>
  <si>
    <t>Target GM%</t>
  </si>
  <si>
    <t>Final New Target for Firm GEM RFQ</t>
  </si>
  <si>
    <t>Item-10</t>
  </si>
  <si>
    <t>Proposal For B&amp;K Vibro Spare Sensors &amp; Accessories</t>
  </si>
  <si>
    <t>Sl.</t>
  </si>
  <si>
    <t>Item Description</t>
  </si>
  <si>
    <t>Proposed Model/Part No.</t>
  </si>
  <si>
    <t>Qty</t>
  </si>
  <si>
    <t>Unit Price ₹</t>
  </si>
  <si>
    <t>Total Price ₹</t>
  </si>
  <si>
    <t>Unit Cost ₹</t>
  </si>
  <si>
    <t>Total Cost ₹</t>
  </si>
  <si>
    <t>Unit Cost €</t>
  </si>
  <si>
    <t>Total Cost €</t>
  </si>
  <si>
    <t>Non-contact Displacement Sensor with full length thread, Measuring Range 2mm, With 0.5m Integral Cable</t>
  </si>
  <si>
    <t>DS821.DS1001/10/075/012/005/000/0</t>
  </si>
  <si>
    <t>Non-contact Displacement Sensor, Reverse Mount Sensor for Sensor Holder with Adjustment Spindle, With 0.5m integral cable</t>
  </si>
  <si>
    <t>DS821.DS1003/62/039/013/005/000/0</t>
  </si>
  <si>
    <t>Sensor Extension Cable Extension Cable without protection, 4.5m length</t>
  </si>
  <si>
    <t>DS821.EC100/45/0</t>
  </si>
  <si>
    <t>Sensor Driver Electronics for 2mm Measuring Range (oscillator/de-modulator), supports all nominal system lengths (5 m and 10 m)</t>
  </si>
  <si>
    <t>DS821.OD110/0</t>
  </si>
  <si>
    <t xml:space="preserve">Sensor Holder, With Adjustment Spindle Uncut, Without Sensor Thread, FKM O-ring </t>
  </si>
  <si>
    <t>AC-3101/1</t>
  </si>
  <si>
    <t>Warranty Certificate</t>
  </si>
  <si>
    <t>NA</t>
  </si>
  <si>
    <t>Country of Origin Certificate</t>
  </si>
  <si>
    <t>Freight Charges from B&amp;K Germany To ModAE India</t>
  </si>
  <si>
    <t>Total For</t>
  </si>
  <si>
    <t>ModAE PO to BKV</t>
  </si>
  <si>
    <t>Terms &amp; Conditions:</t>
  </si>
  <si>
    <t>1. Proposal Validity &amp; Price Escalation Clause:</t>
  </si>
  <si>
    <t>Offer Validity 30 Days From Proposal Issue Date</t>
  </si>
  <si>
    <t>Any Price Escalation Unitl Delivery Of The Goods Due Exchange Rate Variations Shall Be To Your Account</t>
  </si>
  <si>
    <t>Proposal Considered @ ₹112 Per Euro As On 2May2026</t>
  </si>
  <si>
    <t xml:space="preserve">2. Warranty: 12 months from the date of supply </t>
  </si>
  <si>
    <t>3. Price Basis &amp; Inco Terms: Ex Works, Bangalore, All taxes and duties shall be extra as applicable</t>
  </si>
  <si>
    <t>4. Freight &amp; insurance: In Customer scope</t>
  </si>
  <si>
    <t>5. Delivery Period: 16 weeks after Receipt of Purchase Order and Advance Payment</t>
  </si>
  <si>
    <t>6. Site Services: Additional as per MODAE Standard Rate Schedule</t>
  </si>
  <si>
    <t>7. Payment Terms: 50% Advance Along With PO &amp; Balance 50% Plus Applicable Taxes On Material Readiness</t>
  </si>
  <si>
    <t>8. Other Terms &amp; Conditions: As Per ModAE India Standard Terms &amp; Conditions Of Sale</t>
  </si>
  <si>
    <t>Mr. PPPPP</t>
  </si>
  <si>
    <t>M/S. ppppppppppppp</t>
  </si>
  <si>
    <t>ggggggggggggggggggggg</t>
  </si>
  <si>
    <t>gggg - 400000, Maharashtra</t>
  </si>
  <si>
    <t xml:space="preserve">B&amp;K Vibro make sensor holder with adjustment spindle uncut.
</t>
  </si>
  <si>
    <t>Spares For Vibration Sensors From B&amp;K Vibro Germany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</si>
</sst>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_(&quot;$&quot;* #,##0.00_);_(&quot;$&quot;* \(#,##0.00\);_(&quot;$&quot;* &quot;-&quot;??_);_(@_)"/>
    <numFmt numFmtId="165" formatCode="_(* #,##0.00_);_(* \(#,##0.00\);_(* &quot;-&quot;??_);_(@_)"/>
    <numFmt numFmtId="166" formatCode="[$-409]d\-mmm\-yyyy;@"/>
    <numFmt numFmtId="167" formatCode="0.000_)"/>
    <numFmt numFmtId="168" formatCode="0.00_)"/>
    <numFmt numFmtId="169" formatCode="_ [$₹-4009]\ * #,##0_ ;_ [$₹-4009]\ * \-#,##0_ ;_ [$₹-4009]\ * &quot;-&quot;??_ ;_ @_ "/>
    <numFmt numFmtId="170" formatCode="_([$€-2]\ * #,##0.00_);_([$€-2]\ * \(#,##0.00\);_([$€-2]\ * &quot;-&quot;??_);_(@_)"/>
    <numFmt numFmtId="171" formatCode="_ [$₹-4009]\ * #,##0.00_ ;_ [$₹-4009]\ * \-#,##0.00_ ;_ [$₹-4009]\ * &quot;-&quot;??_ ;_ @_ "/>
    <numFmt numFmtId="172" formatCode="_ [$€-2]\ * #,##0_ ;_ [$€-2]\ * \-#,##0_ ;_ [$€-2]\ * &quot;-&quot;??_ ;_ @_ "/>
    <numFmt numFmtId="173" formatCode="_-[$$-409]* #,##0_ ;_-[$$-409]* \-#,##0\ ;_-[$$-409]* &quot;-&quot;??_ ;_-@_ "/>
    <numFmt numFmtId="174" formatCode="_ [$₹-4009]\ * #,##0.0_ ;_ [$₹-4009]\ * \-#,##0.0_ ;_ [$₹-4009]\ * &quot;-&quot;?_ ;_ @_ "/>
  </numFmts>
  <fonts count="47" x14ac:knownFonts="1">
    <font>
      <sz val="10"/>
      <name val="Arial"/>
    </font>
    <font>
      <sz val="10"/>
      <name val="Arial"/>
      <family val="2"/>
    </font>
    <font>
      <u/>
      <sz val="10"/>
      <color indexed="12"/>
      <name val="Arial"/>
      <family val="2"/>
    </font>
    <font>
      <sz val="11"/>
      <name val="Tms Rmn"/>
      <family val="1"/>
    </font>
    <font>
      <b/>
      <sz val="12"/>
      <name val="Arial"/>
      <family val="2"/>
    </font>
    <font>
      <sz val="8"/>
      <name val="Times New Roman"/>
      <family val="1"/>
    </font>
    <font>
      <sz val="7"/>
      <name val="Small Fonts"/>
      <family val="2"/>
    </font>
    <font>
      <b/>
      <i/>
      <sz val="16"/>
      <name val="Helv"/>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Arial"/>
      <family val="2"/>
    </font>
    <font>
      <sz val="10"/>
      <name val="Arial"/>
      <family val="2"/>
    </font>
    <font>
      <u/>
      <sz val="10"/>
      <color indexed="12"/>
      <name val="Arial"/>
      <family val="2"/>
    </font>
    <font>
      <sz val="12"/>
      <name val="Candara"/>
      <family val="2"/>
    </font>
    <font>
      <b/>
      <sz val="12"/>
      <color indexed="55"/>
      <name val="Candara"/>
      <family val="2"/>
    </font>
    <font>
      <sz val="12"/>
      <color indexed="55"/>
      <name val="Candara"/>
      <family val="2"/>
    </font>
    <font>
      <u/>
      <sz val="12"/>
      <color indexed="12"/>
      <name val="Candara"/>
      <family val="2"/>
    </font>
    <font>
      <b/>
      <sz val="10"/>
      <name val="Candara"/>
      <family val="2"/>
    </font>
    <font>
      <b/>
      <sz val="11"/>
      <name val="Candara"/>
      <family val="2"/>
    </font>
    <font>
      <sz val="11"/>
      <name val="Candara"/>
      <family val="2"/>
    </font>
    <font>
      <sz val="11"/>
      <color theme="1"/>
      <name val="Candara"/>
      <family val="2"/>
    </font>
    <font>
      <sz val="10"/>
      <name val="Arial"/>
      <family val="2"/>
    </font>
    <font>
      <sz val="10"/>
      <name val="Candara"/>
      <family val="2"/>
    </font>
    <font>
      <b/>
      <sz val="12"/>
      <name val="Candara"/>
      <family val="2"/>
    </font>
    <font>
      <b/>
      <sz val="10"/>
      <color rgb="FFFFFF00"/>
      <name val="Candara"/>
      <family val="2"/>
    </font>
    <font>
      <sz val="10"/>
      <name val="Aptos Narrow"/>
      <family val="2"/>
    </font>
    <font>
      <b/>
      <sz val="14"/>
      <name val="Candara"/>
      <family val="2"/>
    </font>
    <font>
      <b/>
      <sz val="12"/>
      <color rgb="FF11045C"/>
      <name val="Candara"/>
      <family val="2"/>
    </font>
    <font>
      <sz val="12"/>
      <color rgb="FF3333FF"/>
      <name val="Candara"/>
      <family val="2"/>
    </font>
    <font>
      <b/>
      <i/>
      <sz val="14"/>
      <color rgb="FF3333FF"/>
      <name val="Candara"/>
      <family val="2"/>
    </font>
    <font>
      <b/>
      <sz val="10"/>
      <color rgb="FF3333FF"/>
      <name val="Candara"/>
      <family val="2"/>
    </font>
    <font>
      <i/>
      <sz val="11"/>
      <name val="Candara"/>
      <family val="2"/>
    </font>
  </fonts>
  <fills count="2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bgColor indexed="64"/>
      </patternFill>
    </fill>
    <fill>
      <patternFill patternType="solid">
        <fgColor theme="0"/>
        <bgColor rgb="FF000000"/>
      </patternFill>
    </fill>
  </fills>
  <borders count="2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bottom style="thin">
        <color indexed="64"/>
      </bottom>
      <diagonal/>
    </border>
    <border>
      <left/>
      <right style="thin">
        <color indexed="64"/>
      </right>
      <top style="double">
        <color indexed="64"/>
      </top>
      <bottom style="thin">
        <color indexed="64"/>
      </bottom>
      <diagonal/>
    </border>
    <border>
      <left/>
      <right/>
      <top style="double">
        <color indexed="64"/>
      </top>
      <bottom style="thin">
        <color indexed="64"/>
      </bottom>
      <diagonal/>
    </border>
    <border>
      <left/>
      <right/>
      <top/>
      <bottom style="double">
        <color rgb="FF090759"/>
      </bottom>
      <diagonal/>
    </border>
    <border>
      <left/>
      <right style="thin">
        <color indexed="64"/>
      </right>
      <top style="thin">
        <color indexed="64"/>
      </top>
      <bottom/>
      <diagonal/>
    </border>
  </borders>
  <cellStyleXfs count="73">
    <xf numFmtId="0" fontId="0" fillId="0" borderId="0"/>
    <xf numFmtId="0" fontId="8" fillId="2" borderId="0" applyNumberFormat="0" applyBorder="0" applyAlignment="0" applyProtection="0"/>
    <xf numFmtId="0" fontId="8" fillId="3"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8"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5" borderId="0" applyNumberFormat="0" applyBorder="0" applyAlignment="0" applyProtection="0"/>
    <xf numFmtId="0" fontId="8" fillId="8" borderId="0" applyNumberFormat="0" applyBorder="0" applyAlignment="0" applyProtection="0"/>
    <xf numFmtId="0" fontId="8" fillId="11" borderId="0" applyNumberFormat="0" applyBorder="0" applyAlignment="0" applyProtection="0"/>
    <xf numFmtId="0" fontId="9" fillId="12"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8"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9" borderId="0" applyNumberFormat="0" applyBorder="0" applyAlignment="0" applyProtection="0"/>
    <xf numFmtId="0" fontId="10" fillId="3" borderId="0" applyNumberFormat="0" applyBorder="0" applyAlignment="0" applyProtection="0"/>
    <xf numFmtId="0" fontId="11" fillId="20" borderId="1" applyNumberFormat="0" applyAlignment="0" applyProtection="0"/>
    <xf numFmtId="0" fontId="12" fillId="21" borderId="2" applyNumberFormat="0" applyAlignment="0" applyProtection="0"/>
    <xf numFmtId="167" fontId="3" fillId="0" borderId="0"/>
    <xf numFmtId="167" fontId="3" fillId="0" borderId="0"/>
    <xf numFmtId="167" fontId="3" fillId="0" borderId="0"/>
    <xf numFmtId="167" fontId="3" fillId="0" borderId="0"/>
    <xf numFmtId="167" fontId="3" fillId="0" borderId="0"/>
    <xf numFmtId="167" fontId="3" fillId="0" borderId="0"/>
    <xf numFmtId="167" fontId="3" fillId="0" borderId="0"/>
    <xf numFmtId="167" fontId="3" fillId="0" borderId="0"/>
    <xf numFmtId="165" fontId="25"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4" fontId="25"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0" fontId="13" fillId="0" borderId="0" applyNumberFormat="0" applyFill="0" applyBorder="0" applyAlignment="0" applyProtection="0"/>
    <xf numFmtId="0" fontId="14" fillId="4" borderId="0" applyNumberFormat="0" applyBorder="0" applyAlignment="0" applyProtection="0"/>
    <xf numFmtId="0" fontId="4" fillId="0" borderId="3" applyNumberFormat="0" applyAlignment="0" applyProtection="0">
      <alignment horizontal="left" vertical="center"/>
    </xf>
    <xf numFmtId="0" fontId="4" fillId="0" borderId="4">
      <alignment horizontal="left" vertical="center"/>
    </xf>
    <xf numFmtId="0" fontId="15" fillId="0" borderId="5" applyNumberFormat="0" applyFill="0" applyAlignment="0" applyProtection="0"/>
    <xf numFmtId="0" fontId="16" fillId="0" borderId="6" applyNumberFormat="0" applyFill="0" applyAlignment="0" applyProtection="0"/>
    <xf numFmtId="0" fontId="17" fillId="0" borderId="7" applyNumberFormat="0" applyFill="0" applyAlignment="0" applyProtection="0"/>
    <xf numFmtId="0" fontId="17" fillId="0" borderId="0" applyNumberFormat="0" applyFill="0" applyBorder="0" applyAlignment="0" applyProtection="0"/>
    <xf numFmtId="0" fontId="2" fillId="0" borderId="0" applyNumberFormat="0" applyFill="0" applyBorder="0" applyAlignment="0" applyProtection="0">
      <alignment vertical="top"/>
      <protection locked="0"/>
    </xf>
    <xf numFmtId="0" fontId="27" fillId="0" borderId="0" applyNumberFormat="0" applyFill="0" applyBorder="0" applyAlignment="0" applyProtection="0">
      <alignment vertical="top"/>
      <protection locked="0"/>
    </xf>
    <xf numFmtId="0" fontId="18" fillId="7" borderId="1" applyNumberFormat="0" applyAlignment="0" applyProtection="0"/>
    <xf numFmtId="1" fontId="5" fillId="0" borderId="0">
      <alignment horizontal="center" vertical="center"/>
    </xf>
    <xf numFmtId="0" fontId="19" fillId="0" borderId="8" applyNumberFormat="0" applyFill="0" applyAlignment="0" applyProtection="0"/>
    <xf numFmtId="0" fontId="20" fillId="22" borderId="0" applyNumberFormat="0" applyBorder="0" applyAlignment="0" applyProtection="0"/>
    <xf numFmtId="37" fontId="6" fillId="0" borderId="0"/>
    <xf numFmtId="168" fontId="7" fillId="0" borderId="0"/>
    <xf numFmtId="0" fontId="26" fillId="0" borderId="0"/>
    <xf numFmtId="0" fontId="25" fillId="0" borderId="0"/>
    <xf numFmtId="0" fontId="1" fillId="23" borderId="9" applyNumberFormat="0" applyFont="0" applyAlignment="0" applyProtection="0"/>
    <xf numFmtId="0" fontId="21" fillId="20" borderId="10" applyNumberFormat="0" applyAlignment="0" applyProtection="0"/>
    <xf numFmtId="9" fontId="25" fillId="0" borderId="0" applyFont="0" applyFill="0" applyBorder="0" applyAlignment="0" applyProtection="0"/>
    <xf numFmtId="9" fontId="26" fillId="0" borderId="0" applyFont="0" applyFill="0" applyBorder="0" applyAlignment="0" applyProtection="0"/>
    <xf numFmtId="0" fontId="22" fillId="0" borderId="0" applyNumberFormat="0" applyFill="0" applyBorder="0" applyAlignment="0" applyProtection="0"/>
    <xf numFmtId="0" fontId="23" fillId="0" borderId="11" applyNumberFormat="0" applyFill="0" applyAlignment="0" applyProtection="0"/>
    <xf numFmtId="0" fontId="24" fillId="0" borderId="0" applyNumberFormat="0" applyFill="0" applyBorder="0" applyAlignment="0" applyProtection="0"/>
    <xf numFmtId="0" fontId="1" fillId="0" borderId="0"/>
    <xf numFmtId="0" fontId="1" fillId="0" borderId="0"/>
    <xf numFmtId="0" fontId="2" fillId="0" borderId="0" applyNumberFormat="0" applyFill="0" applyBorder="0" applyAlignment="0" applyProtection="0">
      <alignment vertical="top"/>
      <protection locked="0"/>
    </xf>
    <xf numFmtId="0" fontId="1" fillId="0" borderId="0"/>
    <xf numFmtId="9" fontId="36" fillId="0" borderId="0" applyFont="0" applyFill="0" applyBorder="0" applyAlignment="0" applyProtection="0"/>
    <xf numFmtId="9" fontId="1" fillId="0" borderId="0" applyFont="0" applyFill="0" applyBorder="0" applyAlignment="0" applyProtection="0"/>
  </cellStyleXfs>
  <cellXfs count="95">
    <xf numFmtId="0" fontId="0" fillId="0" borderId="0" xfId="0"/>
    <xf numFmtId="0" fontId="28" fillId="24" borderId="0" xfId="67" applyFont="1" applyFill="1" applyAlignment="1">
      <alignment vertical="center"/>
    </xf>
    <xf numFmtId="0" fontId="34" fillId="24" borderId="0" xfId="67" applyFont="1" applyFill="1" applyAlignment="1">
      <alignment vertical="center"/>
    </xf>
    <xf numFmtId="0" fontId="33" fillId="24" borderId="0" xfId="67" applyFont="1" applyFill="1" applyAlignment="1">
      <alignment horizontal="left" vertical="center"/>
    </xf>
    <xf numFmtId="0" fontId="34" fillId="24" borderId="0" xfId="67" applyFont="1" applyFill="1" applyAlignment="1">
      <alignment horizontal="left" vertical="center"/>
    </xf>
    <xf numFmtId="0" fontId="33" fillId="24" borderId="15" xfId="67" applyFont="1" applyFill="1" applyBorder="1" applyAlignment="1">
      <alignment horizontal="center" vertical="center"/>
    </xf>
    <xf numFmtId="0" fontId="33" fillId="24" borderId="16" xfId="67" applyFont="1" applyFill="1" applyBorder="1" applyAlignment="1">
      <alignment horizontal="center" vertical="center"/>
    </xf>
    <xf numFmtId="170" fontId="34" fillId="24" borderId="0" xfId="67" applyNumberFormat="1" applyFont="1" applyFill="1" applyAlignment="1">
      <alignment horizontal="center" vertical="center"/>
    </xf>
    <xf numFmtId="0" fontId="34" fillId="24" borderId="0" xfId="67" applyFont="1" applyFill="1" applyAlignment="1">
      <alignment horizontal="center" vertical="center"/>
    </xf>
    <xf numFmtId="0" fontId="35" fillId="24" borderId="0" xfId="67" applyFont="1" applyFill="1" applyAlignment="1">
      <alignment vertical="center"/>
    </xf>
    <xf numFmtId="0" fontId="35" fillId="24" borderId="0" xfId="67" applyFont="1" applyFill="1" applyAlignment="1">
      <alignment horizontal="left" vertical="center"/>
    </xf>
    <xf numFmtId="0" fontId="34" fillId="24" borderId="0" xfId="67" applyFont="1" applyFill="1" applyAlignment="1">
      <alignment vertical="center" wrapText="1"/>
    </xf>
    <xf numFmtId="0" fontId="37" fillId="24" borderId="0" xfId="67" applyFont="1" applyFill="1" applyAlignment="1">
      <alignment vertical="center"/>
    </xf>
    <xf numFmtId="0" fontId="32" fillId="24" borderId="15" xfId="67" applyFont="1" applyFill="1" applyBorder="1" applyAlignment="1">
      <alignment horizontal="center" vertical="center" wrapText="1"/>
    </xf>
    <xf numFmtId="171" fontId="32" fillId="24" borderId="14" xfId="67" applyNumberFormat="1" applyFont="1" applyFill="1" applyBorder="1" applyAlignment="1">
      <alignment horizontal="center" vertical="center"/>
    </xf>
    <xf numFmtId="169" fontId="32" fillId="24" borderId="14" xfId="67" applyNumberFormat="1" applyFont="1" applyFill="1" applyBorder="1" applyAlignment="1">
      <alignment vertical="center"/>
    </xf>
    <xf numFmtId="169" fontId="32" fillId="24" borderId="14" xfId="67" applyNumberFormat="1" applyFont="1" applyFill="1" applyBorder="1" applyAlignment="1">
      <alignment horizontal="center" vertical="center"/>
    </xf>
    <xf numFmtId="173" fontId="32" fillId="24" borderId="14" xfId="67" applyNumberFormat="1" applyFont="1" applyFill="1" applyBorder="1" applyAlignment="1">
      <alignment horizontal="center" vertical="center"/>
    </xf>
    <xf numFmtId="172" fontId="32" fillId="24" borderId="14" xfId="67" applyNumberFormat="1" applyFont="1" applyFill="1" applyBorder="1" applyAlignment="1">
      <alignment vertical="center"/>
    </xf>
    <xf numFmtId="169" fontId="34" fillId="24" borderId="20" xfId="0" applyNumberFormat="1" applyFont="1" applyFill="1" applyBorder="1" applyAlignment="1">
      <alignment horizontal="center" vertical="top" wrapText="1"/>
    </xf>
    <xf numFmtId="169" fontId="34" fillId="24" borderId="13" xfId="0" applyNumberFormat="1" applyFont="1" applyFill="1" applyBorder="1" applyAlignment="1">
      <alignment horizontal="center" vertical="top" wrapText="1"/>
    </xf>
    <xf numFmtId="0" fontId="33" fillId="24" borderId="18" xfId="67" applyFont="1" applyFill="1" applyBorder="1" applyAlignment="1">
      <alignment vertical="center"/>
    </xf>
    <xf numFmtId="174" fontId="34" fillId="24" borderId="0" xfId="67" applyNumberFormat="1" applyFont="1" applyFill="1" applyAlignment="1">
      <alignment vertical="center"/>
    </xf>
    <xf numFmtId="0" fontId="38" fillId="24" borderId="0" xfId="67" applyFont="1" applyFill="1" applyAlignment="1">
      <alignment vertical="top"/>
    </xf>
    <xf numFmtId="0" fontId="33" fillId="24" borderId="15" xfId="0" applyFont="1" applyFill="1" applyBorder="1" applyAlignment="1">
      <alignment horizontal="center" vertical="center"/>
    </xf>
    <xf numFmtId="0" fontId="34" fillId="24" borderId="12" xfId="67" applyFont="1" applyFill="1" applyBorder="1" applyAlignment="1">
      <alignment horizontal="center" vertical="top"/>
    </xf>
    <xf numFmtId="169" fontId="37" fillId="24" borderId="14" xfId="67" applyNumberFormat="1" applyFont="1" applyFill="1" applyBorder="1" applyAlignment="1">
      <alignment vertical="top"/>
    </xf>
    <xf numFmtId="172" fontId="37" fillId="24" borderId="14" xfId="67" applyNumberFormat="1" applyFont="1" applyFill="1" applyBorder="1" applyAlignment="1">
      <alignment vertical="top"/>
    </xf>
    <xf numFmtId="0" fontId="28" fillId="24" borderId="0" xfId="67" applyFont="1" applyFill="1" applyAlignment="1">
      <alignment horizontal="left" vertical="top"/>
    </xf>
    <xf numFmtId="0" fontId="34" fillId="24" borderId="13" xfId="67" applyFont="1" applyFill="1" applyBorder="1" applyAlignment="1">
      <alignment horizontal="center" vertical="top"/>
    </xf>
    <xf numFmtId="0" fontId="28" fillId="24" borderId="0" xfId="67" applyFont="1" applyFill="1" applyAlignment="1">
      <alignment vertical="top"/>
    </xf>
    <xf numFmtId="0" fontId="34" fillId="24" borderId="12" xfId="50" applyFont="1" applyFill="1" applyBorder="1" applyAlignment="1" applyProtection="1">
      <alignment vertical="top" wrapText="1"/>
    </xf>
    <xf numFmtId="169" fontId="34" fillId="24" borderId="12" xfId="0" applyNumberFormat="1" applyFont="1" applyFill="1" applyBorder="1" applyAlignment="1">
      <alignment horizontal="center" vertical="top" wrapText="1"/>
    </xf>
    <xf numFmtId="172" fontId="37" fillId="24" borderId="15" xfId="67" applyNumberFormat="1" applyFont="1" applyFill="1" applyBorder="1" applyAlignment="1">
      <alignment vertical="top"/>
    </xf>
    <xf numFmtId="0" fontId="33" fillId="24" borderId="0" xfId="67" applyFont="1" applyFill="1" applyAlignment="1">
      <alignment horizontal="center" vertical="center"/>
    </xf>
    <xf numFmtId="0" fontId="34" fillId="0" borderId="14" xfId="0" applyFont="1" applyBorder="1" applyAlignment="1">
      <alignment wrapText="1"/>
    </xf>
    <xf numFmtId="0" fontId="34" fillId="0" borderId="14" xfId="0" applyFont="1" applyBorder="1" applyAlignment="1">
      <alignment horizontal="left" vertical="top" wrapText="1"/>
    </xf>
    <xf numFmtId="171" fontId="37" fillId="24" borderId="0" xfId="67" applyNumberFormat="1" applyFont="1" applyFill="1" applyAlignment="1">
      <alignment vertical="center"/>
    </xf>
    <xf numFmtId="169" fontId="37" fillId="24" borderId="15" xfId="67" applyNumberFormat="1" applyFont="1" applyFill="1" applyBorder="1" applyAlignment="1">
      <alignment vertical="top"/>
    </xf>
    <xf numFmtId="0" fontId="28" fillId="24" borderId="0" xfId="67" applyFont="1" applyFill="1" applyAlignment="1">
      <alignment horizontal="center" vertical="center"/>
    </xf>
    <xf numFmtId="0" fontId="28" fillId="25" borderId="0" xfId="0" applyFont="1" applyFill="1" applyAlignment="1">
      <alignment vertical="center"/>
    </xf>
    <xf numFmtId="0" fontId="28" fillId="24" borderId="0" xfId="68" applyFont="1" applyFill="1" applyAlignment="1">
      <alignment horizontal="left" vertical="center"/>
    </xf>
    <xf numFmtId="0" fontId="28" fillId="24" borderId="0" xfId="68" quotePrefix="1" applyFont="1" applyFill="1" applyAlignment="1">
      <alignment horizontal="left" vertical="center"/>
    </xf>
    <xf numFmtId="0" fontId="28" fillId="24" borderId="0" xfId="67" applyFont="1" applyFill="1" applyAlignment="1">
      <alignment horizontal="left" vertical="top" wrapText="1"/>
    </xf>
    <xf numFmtId="0" fontId="34" fillId="24" borderId="15" xfId="67" applyFont="1" applyFill="1" applyBorder="1" applyAlignment="1">
      <alignment horizontal="center" vertical="top"/>
    </xf>
    <xf numFmtId="169" fontId="37" fillId="24" borderId="0" xfId="67" applyNumberFormat="1" applyFont="1" applyFill="1" applyAlignment="1">
      <alignment vertical="center"/>
    </xf>
    <xf numFmtId="172" fontId="32" fillId="24" borderId="0" xfId="67" applyNumberFormat="1" applyFont="1" applyFill="1" applyAlignment="1">
      <alignment vertical="center"/>
    </xf>
    <xf numFmtId="0" fontId="37" fillId="24" borderId="0" xfId="0" applyFont="1" applyFill="1" applyAlignment="1">
      <alignment vertical="center"/>
    </xf>
    <xf numFmtId="0" fontId="37" fillId="24" borderId="12" xfId="67" applyFont="1" applyFill="1" applyBorder="1" applyAlignment="1">
      <alignment horizontal="center" vertical="center"/>
    </xf>
    <xf numFmtId="169" fontId="37" fillId="24" borderId="12" xfId="67" applyNumberFormat="1" applyFont="1" applyFill="1" applyBorder="1" applyAlignment="1">
      <alignment vertical="center"/>
    </xf>
    <xf numFmtId="10" fontId="37" fillId="24" borderId="0" xfId="72" applyNumberFormat="1" applyFont="1" applyFill="1" applyAlignment="1">
      <alignment horizontal="center" vertical="center"/>
    </xf>
    <xf numFmtId="0" fontId="37" fillId="24" borderId="12" xfId="0" applyFont="1" applyFill="1" applyBorder="1" applyAlignment="1">
      <alignment horizontal="center" vertical="center"/>
    </xf>
    <xf numFmtId="169" fontId="37" fillId="24" borderId="12" xfId="0" applyNumberFormat="1" applyFont="1" applyFill="1" applyBorder="1" applyAlignment="1">
      <alignment vertical="center"/>
    </xf>
    <xf numFmtId="10" fontId="37" fillId="24" borderId="12" xfId="67" applyNumberFormat="1" applyFont="1" applyFill="1" applyBorder="1" applyAlignment="1">
      <alignment horizontal="center" vertical="center"/>
    </xf>
    <xf numFmtId="10" fontId="37" fillId="24" borderId="0" xfId="72" applyNumberFormat="1" applyFont="1" applyFill="1" applyBorder="1" applyAlignment="1">
      <alignment horizontal="center" vertical="center"/>
    </xf>
    <xf numFmtId="10" fontId="39" fillId="24" borderId="0" xfId="72" applyNumberFormat="1" applyFont="1" applyFill="1" applyBorder="1" applyAlignment="1">
      <alignment horizontal="center" vertical="center"/>
    </xf>
    <xf numFmtId="0" fontId="34" fillId="24" borderId="0" xfId="67" applyFont="1" applyFill="1" applyAlignment="1">
      <alignment horizontal="left" vertical="center" indent="1"/>
    </xf>
    <xf numFmtId="0" fontId="37" fillId="24" borderId="14" xfId="67" applyFont="1" applyFill="1" applyBorder="1" applyAlignment="1">
      <alignment horizontal="center" vertical="center"/>
    </xf>
    <xf numFmtId="171" fontId="37" fillId="24" borderId="14" xfId="67" applyNumberFormat="1" applyFont="1" applyFill="1" applyBorder="1" applyAlignment="1">
      <alignment vertical="center"/>
    </xf>
    <xf numFmtId="0" fontId="37" fillId="24" borderId="14" xfId="0" applyFont="1" applyFill="1" applyBorder="1" applyAlignment="1">
      <alignment horizontal="center" vertical="center"/>
    </xf>
    <xf numFmtId="169" fontId="37" fillId="24" borderId="14" xfId="0" applyNumberFormat="1" applyFont="1" applyFill="1" applyBorder="1" applyAlignment="1">
      <alignment vertical="center"/>
    </xf>
    <xf numFmtId="10" fontId="37" fillId="24" borderId="12" xfId="71" applyNumberFormat="1" applyFont="1" applyFill="1" applyBorder="1" applyAlignment="1">
      <alignment horizontal="center" vertical="center"/>
    </xf>
    <xf numFmtId="0" fontId="34" fillId="0" borderId="0" xfId="0" applyFont="1" applyAlignment="1">
      <alignment horizontal="center" vertical="top"/>
    </xf>
    <xf numFmtId="0" fontId="34" fillId="0" borderId="12" xfId="0" applyFont="1" applyBorder="1" applyAlignment="1">
      <alignment horizontal="center" vertical="top"/>
    </xf>
    <xf numFmtId="0" fontId="34" fillId="0" borderId="4" xfId="0" applyFont="1" applyBorder="1" applyAlignment="1">
      <alignment horizontal="center" vertical="top"/>
    </xf>
    <xf numFmtId="171" fontId="37" fillId="24" borderId="12" xfId="67" applyNumberFormat="1" applyFont="1" applyFill="1" applyBorder="1" applyAlignment="1">
      <alignment vertical="center"/>
    </xf>
    <xf numFmtId="0" fontId="34" fillId="24" borderId="0" xfId="67" applyFont="1" applyFill="1" applyAlignment="1">
      <alignment vertical="top"/>
    </xf>
    <xf numFmtId="0" fontId="28" fillId="24" borderId="19" xfId="67" applyFont="1" applyFill="1" applyBorder="1" applyAlignment="1">
      <alignment vertical="top"/>
    </xf>
    <xf numFmtId="0" fontId="28" fillId="24" borderId="0" xfId="67" applyFont="1" applyFill="1" applyAlignment="1">
      <alignment horizontal="center" vertical="top"/>
    </xf>
    <xf numFmtId="0" fontId="38" fillId="24" borderId="0" xfId="68" applyFont="1" applyFill="1" applyAlignment="1">
      <alignment vertical="top"/>
    </xf>
    <xf numFmtId="0" fontId="38" fillId="24" borderId="0" xfId="67" applyFont="1" applyFill="1" applyAlignment="1">
      <alignment vertical="center"/>
    </xf>
    <xf numFmtId="0" fontId="44" fillId="24" borderId="0" xfId="67" applyFont="1" applyFill="1" applyAlignment="1">
      <alignment horizontal="right" vertical="center"/>
    </xf>
    <xf numFmtId="0" fontId="32" fillId="24" borderId="0" xfId="67" applyFont="1" applyFill="1" applyAlignment="1">
      <alignment horizontal="right" vertical="center"/>
    </xf>
    <xf numFmtId="169" fontId="33" fillId="24" borderId="18" xfId="0" applyNumberFormat="1" applyFont="1" applyFill="1" applyBorder="1" applyAlignment="1">
      <alignment horizontal="center" vertical="center"/>
    </xf>
    <xf numFmtId="0" fontId="46" fillId="24" borderId="0" xfId="67" applyFont="1" applyFill="1" applyAlignment="1">
      <alignment horizontal="left" vertical="center" indent="2"/>
    </xf>
    <xf numFmtId="0" fontId="32" fillId="24" borderId="15" xfId="0" applyFont="1" applyFill="1" applyBorder="1" applyAlignment="1">
      <alignment horizontal="center" vertical="center"/>
    </xf>
    <xf numFmtId="0" fontId="41" fillId="24" borderId="0" xfId="67" applyFont="1" applyFill="1" applyAlignment="1">
      <alignment horizontal="center" vertical="center"/>
    </xf>
    <xf numFmtId="169" fontId="33" fillId="24" borderId="18" xfId="67" applyNumberFormat="1" applyFont="1" applyFill="1" applyBorder="1" applyAlignment="1">
      <alignment horizontal="center" vertical="center"/>
    </xf>
    <xf numFmtId="169" fontId="33" fillId="24" borderId="17" xfId="67" applyNumberFormat="1" applyFont="1" applyFill="1" applyBorder="1" applyAlignment="1">
      <alignment horizontal="center" vertical="center"/>
    </xf>
    <xf numFmtId="0" fontId="31" fillId="24" borderId="0" xfId="69" applyFont="1" applyFill="1" applyAlignment="1" applyProtection="1">
      <alignment horizontal="right" vertical="top"/>
    </xf>
    <xf numFmtId="0" fontId="30" fillId="24" borderId="0" xfId="67" applyFont="1" applyFill="1" applyAlignment="1">
      <alignment horizontal="right" vertical="top"/>
    </xf>
    <xf numFmtId="0" fontId="42" fillId="24" borderId="0" xfId="67" applyFont="1" applyFill="1" applyAlignment="1">
      <alignment horizontal="left" vertical="top"/>
    </xf>
    <xf numFmtId="0" fontId="42" fillId="24" borderId="19" xfId="67" applyFont="1" applyFill="1" applyBorder="1" applyAlignment="1">
      <alignment horizontal="left" vertical="top"/>
    </xf>
    <xf numFmtId="0" fontId="44" fillId="24" borderId="0" xfId="67" applyFont="1" applyFill="1" applyAlignment="1">
      <alignment horizontal="right" vertical="top"/>
    </xf>
    <xf numFmtId="166" fontId="28" fillId="24" borderId="0" xfId="67" applyNumberFormat="1" applyFont="1" applyFill="1" applyAlignment="1">
      <alignment horizontal="left" vertical="center"/>
    </xf>
    <xf numFmtId="0" fontId="28" fillId="24" borderId="0" xfId="68" applyFont="1" applyFill="1" applyAlignment="1">
      <alignment horizontal="left" vertical="top" wrapText="1"/>
    </xf>
    <xf numFmtId="0" fontId="28" fillId="24" borderId="0" xfId="68" applyFont="1" applyFill="1" applyAlignment="1">
      <alignment horizontal="left" vertical="center"/>
    </xf>
    <xf numFmtId="0" fontId="28" fillId="24" borderId="0" xfId="67" applyFont="1" applyFill="1" applyAlignment="1">
      <alignment horizontal="left" vertical="top" wrapText="1"/>
    </xf>
    <xf numFmtId="0" fontId="29" fillId="24" borderId="0" xfId="67" applyFont="1" applyFill="1" applyAlignment="1">
      <alignment horizontal="left" vertical="top" wrapText="1"/>
    </xf>
    <xf numFmtId="0" fontId="30" fillId="24" borderId="0" xfId="67" applyFont="1" applyFill="1" applyAlignment="1">
      <alignment horizontal="left" vertical="top" wrapText="1"/>
    </xf>
    <xf numFmtId="169" fontId="45" fillId="24" borderId="12" xfId="67" applyNumberFormat="1" applyFont="1" applyFill="1" applyBorder="1" applyAlignment="1">
      <alignment vertical="center"/>
    </xf>
    <xf numFmtId="10" fontId="45" fillId="24" borderId="12" xfId="0" applyNumberFormat="1" applyFont="1" applyFill="1" applyBorder="1" applyAlignment="1">
      <alignment horizontal="left" vertical="center"/>
    </xf>
    <xf numFmtId="0" fontId="37" fillId="24" borderId="12" xfId="67" applyFont="1" applyFill="1" applyBorder="1" applyAlignment="1">
      <alignment vertical="center"/>
    </xf>
    <xf numFmtId="10" fontId="45" fillId="24" borderId="12" xfId="71" applyNumberFormat="1" applyFont="1" applyFill="1" applyBorder="1" applyAlignment="1">
      <alignment horizontal="center" vertical="center"/>
    </xf>
    <xf numFmtId="0" fontId="45" fillId="24" borderId="12" xfId="0" applyFont="1" applyFill="1" applyBorder="1" applyAlignment="1">
      <alignment horizontal="left" vertical="center"/>
    </xf>
  </cellXfs>
  <cellStyles count="73">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 Style1" xfId="28" xr:uid="{00000000-0005-0000-0000-00001B000000}"/>
    <cellStyle name="Comma  - Style2" xfId="29" xr:uid="{00000000-0005-0000-0000-00001C000000}"/>
    <cellStyle name="Comma  - Style3" xfId="30" xr:uid="{00000000-0005-0000-0000-00001D000000}"/>
    <cellStyle name="Comma  - Style4" xfId="31" xr:uid="{00000000-0005-0000-0000-00001E000000}"/>
    <cellStyle name="Comma  - Style5" xfId="32" xr:uid="{00000000-0005-0000-0000-00001F000000}"/>
    <cellStyle name="Comma  - Style6" xfId="33" xr:uid="{00000000-0005-0000-0000-000020000000}"/>
    <cellStyle name="Comma  - Style7" xfId="34" xr:uid="{00000000-0005-0000-0000-000021000000}"/>
    <cellStyle name="Comma  - Style8" xfId="35" xr:uid="{00000000-0005-0000-0000-000022000000}"/>
    <cellStyle name="Comma 2" xfId="36" xr:uid="{00000000-0005-0000-0000-000023000000}"/>
    <cellStyle name="Comma 2 2" xfId="37" xr:uid="{00000000-0005-0000-0000-000024000000}"/>
    <cellStyle name="Comma 3" xfId="38" xr:uid="{00000000-0005-0000-0000-000025000000}"/>
    <cellStyle name="Currency 2" xfId="39" xr:uid="{00000000-0005-0000-0000-000026000000}"/>
    <cellStyle name="Currency 2 2" xfId="40" xr:uid="{00000000-0005-0000-0000-000027000000}"/>
    <cellStyle name="Currency 3" xfId="41" xr:uid="{00000000-0005-0000-0000-000028000000}"/>
    <cellStyle name="Explanatory Text" xfId="42" builtinId="53" customBuiltin="1"/>
    <cellStyle name="Good" xfId="43" builtinId="26" customBuiltin="1"/>
    <cellStyle name="Header1" xfId="44" xr:uid="{00000000-0005-0000-0000-00002B000000}"/>
    <cellStyle name="Header2" xfId="45" xr:uid="{00000000-0005-0000-0000-00002C000000}"/>
    <cellStyle name="Heading 1" xfId="46" builtinId="16" customBuiltin="1"/>
    <cellStyle name="Heading 2" xfId="47" builtinId="17" customBuiltin="1"/>
    <cellStyle name="Heading 3" xfId="48" builtinId="18" customBuiltin="1"/>
    <cellStyle name="Heading 4" xfId="49" builtinId="19" customBuiltin="1"/>
    <cellStyle name="Hyperlink" xfId="50" builtinId="8"/>
    <cellStyle name="Hyperlink 2" xfId="51" xr:uid="{00000000-0005-0000-0000-000032000000}"/>
    <cellStyle name="Hyperlink 2 2" xfId="69" xr:uid="{00000000-0005-0000-0000-000033000000}"/>
    <cellStyle name="Input" xfId="52" builtinId="20" customBuiltin="1"/>
    <cellStyle name="IoReport" xfId="53" xr:uid="{00000000-0005-0000-0000-000035000000}"/>
    <cellStyle name="Linked Cell" xfId="54" builtinId="24" customBuiltin="1"/>
    <cellStyle name="Neutral" xfId="55" builtinId="28" customBuiltin="1"/>
    <cellStyle name="no dec" xfId="56" xr:uid="{00000000-0005-0000-0000-000038000000}"/>
    <cellStyle name="Normal" xfId="0" builtinId="0"/>
    <cellStyle name="Normal - Style1" xfId="57" xr:uid="{00000000-0005-0000-0000-00003A000000}"/>
    <cellStyle name="Normal 12" xfId="70" xr:uid="{00000000-0005-0000-0000-00003B000000}"/>
    <cellStyle name="Normal 2" xfId="58" xr:uid="{00000000-0005-0000-0000-00003C000000}"/>
    <cellStyle name="Normal 2 2 2 2" xfId="67" xr:uid="{00000000-0005-0000-0000-00003D000000}"/>
    <cellStyle name="Normal 3" xfId="59" xr:uid="{00000000-0005-0000-0000-00003E000000}"/>
    <cellStyle name="Normal 3 2 2" xfId="68" xr:uid="{00000000-0005-0000-0000-00003F000000}"/>
    <cellStyle name="Note" xfId="60" builtinId="10" customBuiltin="1"/>
    <cellStyle name="Output" xfId="61" builtinId="21" customBuiltin="1"/>
    <cellStyle name="Percent" xfId="71" builtinId="5"/>
    <cellStyle name="Percent 2" xfId="62" xr:uid="{00000000-0005-0000-0000-000042000000}"/>
    <cellStyle name="Percent 2 2" xfId="63" xr:uid="{00000000-0005-0000-0000-000043000000}"/>
    <cellStyle name="Percent 3" xfId="72" xr:uid="{8C56E63F-27C5-4C23-A711-64E3C91E56C0}"/>
    <cellStyle name="Title" xfId="64" builtinId="15" customBuiltin="1"/>
    <cellStyle name="Total" xfId="65" builtinId="25" customBuiltin="1"/>
    <cellStyle name="Warning Text" xfId="66" builtinId="11" customBuiltin="1"/>
  </cellStyles>
  <dxfs count="0"/>
  <tableStyles count="0" defaultTableStyle="TableStyleMedium9" defaultPivotStyle="PivotStyleLight16"/>
  <colors>
    <mruColors>
      <color rgb="FF333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customXml" Target="../customXml/item1.xml"/><Relationship Id="rId10" Type="http://schemas.openxmlformats.org/officeDocument/2006/relationships/externalLink" Target="externalLinks/externalLink8.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73272</xdr:colOff>
      <xdr:row>0</xdr:row>
      <xdr:rowOff>114300</xdr:rowOff>
    </xdr:from>
    <xdr:to>
      <xdr:col>3</xdr:col>
      <xdr:colOff>169272</xdr:colOff>
      <xdr:row>2</xdr:row>
      <xdr:rowOff>127420</xdr:rowOff>
    </xdr:to>
    <xdr:pic>
      <xdr:nvPicPr>
        <xdr:cNvPr id="2" name="Picture 1">
          <a:extLst>
            <a:ext uri="{FF2B5EF4-FFF2-40B4-BE49-F238E27FC236}">
              <a16:creationId xmlns:a16="http://schemas.microsoft.com/office/drawing/2014/main" id="{315AF932-E494-4E2D-80D8-F0004425B230}"/>
            </a:ext>
          </a:extLst>
        </xdr:cNvPr>
        <xdr:cNvPicPr preferRelativeResize="0">
          <a:picLocks/>
        </xdr:cNvPicPr>
      </xdr:nvPicPr>
      <xdr:blipFill>
        <a:blip xmlns:r="http://schemas.openxmlformats.org/officeDocument/2006/relationships" r:embed="rId1"/>
        <a:stretch>
          <a:fillRect/>
        </a:stretch>
      </xdr:blipFill>
      <xdr:spPr>
        <a:xfrm>
          <a:off x="73272" y="114300"/>
          <a:ext cx="1581900" cy="4398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143934</xdr:colOff>
      <xdr:row>0</xdr:row>
      <xdr:rowOff>147973</xdr:rowOff>
    </xdr:from>
    <xdr:to>
      <xdr:col>2</xdr:col>
      <xdr:colOff>703158</xdr:colOff>
      <xdr:row>2</xdr:row>
      <xdr:rowOff>211276</xdr:rowOff>
    </xdr:to>
    <xdr:pic>
      <xdr:nvPicPr>
        <xdr:cNvPr id="2" name="Picture 1">
          <a:extLst>
            <a:ext uri="{FF2B5EF4-FFF2-40B4-BE49-F238E27FC236}">
              <a16:creationId xmlns:a16="http://schemas.microsoft.com/office/drawing/2014/main" id="{5F2F0469-129E-4B81-B54B-4433EBB319AA}"/>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brightnessContrast contrast="17000"/>
                  </a14:imgEffect>
                </a14:imgLayer>
              </a14:imgProps>
            </a:ext>
          </a:extLst>
        </a:blip>
        <a:stretch>
          <a:fillRect/>
        </a:stretch>
      </xdr:blipFill>
      <xdr:spPr>
        <a:xfrm>
          <a:off x="143934" y="147973"/>
          <a:ext cx="1610784" cy="45954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TEMP/PAT_Lite_master/PAT_Lite_master.xls" TargetMode="External"/><Relationship Id="rId1" Type="http://schemas.openxmlformats.org/officeDocument/2006/relationships/externalLinkPath" Target="/TEMP/PAT_Lite_master/PAT_Lite_master.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TEMP\PAT_Lite_master\PAT_Lite_master.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Debenedittis/MODULISTICA/Modulistica_APS/Modulistica_PROCESSO/DOC_STD_PROCESSO/EQUIP_SUMM_ital_02.xls" TargetMode="External"/><Relationship Id="rId1" Type="http://schemas.openxmlformats.org/officeDocument/2006/relationships/externalLinkPath" Target="/Debenedittis/MODULISTICA/Modulistica_APS/Modulistica_PROCESSO/DOC_STD_PROCESSO/EQUIP_SUMM_ital_02.xls"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Tmp/Temporary%20Directory%201%20for%20PATLite_CondMon.zip/PATLite_CondMon.xls" TargetMode="External"/><Relationship Id="rId1" Type="http://schemas.openxmlformats.org/officeDocument/2006/relationships/externalLinkPath" Target="/Tmp/Temporary%20Directory%201%20for%20PATLite_CondMon.zip/PATLite_CondMon.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Tmp\Temporary%20Directory%201%20for%20PATLite_CondMon.zip\PATLite_CondMon.xls"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CHEFP1/Projects$/PROJECTS%20HANDLED%201/PROJECTS%20HANDLED/Survey%20sheets/N%20E%20W%20%20%20F%20O%20R%20M%20A%20T/2RSD_Survey_Sample%20v46.xls" TargetMode="External"/><Relationship Id="rId1" Type="http://schemas.openxmlformats.org/officeDocument/2006/relationships/externalLinkPath" Target="/CHEFP1/Projects$/PROJECTS%20HANDLED%201/PROJECTS%20HANDLED/Survey%20sheets/N%20E%20W%20%20%20F%20O%20R%20M%20A%20T/2RSD_Survey_Sample%20v46.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wks-fr.exnet.technip.com/sites/JeevanTPFrance/JeevanSupportFrance/Support%20Utilisateurs/FSI-P2P-P224.02-5%20(P224.02%20-%20New%20Demand%20and%20PR)%20SDM%20TEMPLATE%20EN.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TEMP\PAT_Lite_master\PAT_Lite_master.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structions"/>
      <sheetName val="EX2100Export"/>
      <sheetName val="Customer Information"/>
      <sheetName val="RangeData"/>
      <sheetName val="Screening_Points"/>
      <sheetName val="Plant"/>
      <sheetName val="Applications"/>
      <sheetName val="Scope-Controls"/>
      <sheetName val="Scope-HW"/>
      <sheetName val="Trendmaster Configure"/>
      <sheetName val="Screen-Hydro"/>
      <sheetName val="Screen-OPS"/>
      <sheetName val="PackSys"/>
      <sheetName val="Scope-SW"/>
      <sheetName val="Scope-PartXRef"/>
      <sheetName val="Scope-TMBOP"/>
      <sheetName val="HW-SW"/>
      <sheetName val="PL"/>
      <sheetName val="Spare Parts"/>
      <sheetName val="Service Cal"/>
      <sheetName val="Service Pricing"/>
      <sheetName val="3500 Rack Layout"/>
      <sheetName val="Parts List"/>
      <sheetName val="ScopeDefaults"/>
      <sheetName val="Quotation"/>
      <sheetName val="R2 Summary"/>
      <sheetName val="RRC"/>
      <sheetName val="PriceAuthority"/>
      <sheetName val="Margin Share"/>
      <sheetName val="Endnotes - Fixed Price"/>
      <sheetName val="Endnotes - Budgetary"/>
      <sheetName val="Service OTR Summary"/>
      <sheetName val="Scope-SW-V5"/>
      <sheetName val="Revision Statu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EX2100Export"/>
      <sheetName val="Customer Information"/>
      <sheetName val="RangeData"/>
      <sheetName val="Screening_Points"/>
      <sheetName val="Plant"/>
      <sheetName val="Applications"/>
      <sheetName val="Scope-Controls"/>
      <sheetName val="Scope-HW"/>
      <sheetName val="Trendmaster Configure"/>
      <sheetName val="Screen-Hydro"/>
      <sheetName val="Screen-OPS"/>
      <sheetName val="PackSys"/>
      <sheetName val="Scope-SW"/>
      <sheetName val="Scope-PartXRef"/>
      <sheetName val="Scope-TMBOP"/>
      <sheetName val="HW-SW"/>
      <sheetName val="PL"/>
      <sheetName val="Spare Parts"/>
      <sheetName val="Service Cal"/>
      <sheetName val="Service Pricing"/>
      <sheetName val="3500 Rack Layout"/>
      <sheetName val="Parts List"/>
      <sheetName val="ScopeDefaults"/>
      <sheetName val="Quotation"/>
      <sheetName val="R2 Summary"/>
      <sheetName val="RRC"/>
      <sheetName val="PriceAuthority"/>
      <sheetName val="Margin Share"/>
      <sheetName val="Endnotes - Fixed Price"/>
      <sheetName val="Endnotes - Budgetary"/>
      <sheetName val="Service OTR Summary"/>
      <sheetName val="Scope-SW-V5"/>
      <sheetName val="Revision Statu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itles"/>
      <sheetName val="FRONTE"/>
      <sheetName val="Aircoolers"/>
      <sheetName val="Basins"/>
      <sheetName val="Agitators"/>
      <sheetName val="Blowers"/>
      <sheetName val="Boilers"/>
      <sheetName val="Compressors"/>
      <sheetName val="Conveyors"/>
      <sheetName val="Elevator"/>
      <sheetName val="Heat Exchangers"/>
      <sheetName val="Heaters"/>
      <sheetName val="Hoppers"/>
      <sheetName val="Miscellanea"/>
      <sheetName val="Pumps"/>
      <sheetName val="Reactors"/>
      <sheetName val="Tanks"/>
      <sheetName val="Towers"/>
      <sheetName val="Turbines"/>
      <sheetName val="Vessels"/>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cope-Global"/>
      <sheetName val="GPRack-BOM"/>
      <sheetName val="Instructions"/>
      <sheetName val="EX2100Export"/>
      <sheetName val="Customer Information"/>
      <sheetName val="RangeData"/>
      <sheetName val="Screening_Points"/>
      <sheetName val="Plant"/>
      <sheetName val="Applications"/>
      <sheetName val="WiTry"/>
      <sheetName val="Scope-HW"/>
      <sheetName val="Trendmaster Configure"/>
      <sheetName val="Scope-PartXRef"/>
      <sheetName val="Overspeed"/>
      <sheetName val="DM2K_Migration"/>
      <sheetName val="Scope-SW"/>
      <sheetName val="HW-SW"/>
      <sheetName val="PL"/>
      <sheetName val="ScopeDefaults"/>
      <sheetName val="Scope-GP-Others"/>
      <sheetName val="Spare Parts"/>
      <sheetName val="Scope-TMBOP"/>
      <sheetName val="PackSys"/>
      <sheetName val="FAT PRICING"/>
      <sheetName val="PROJECT ENGINEERING"/>
      <sheetName val="Scope-PM"/>
      <sheetName val="FormatTemplate"/>
      <sheetName val="Service Cal"/>
      <sheetName val="Service Pricing"/>
      <sheetName val="UsefulLinks"/>
      <sheetName val="3500 Rack Layout"/>
      <sheetName val="Parts List"/>
      <sheetName val="Compliance"/>
      <sheetName val="Quotation"/>
      <sheetName val="QuoteSetup"/>
      <sheetName val="QuoteLogic"/>
      <sheetName val="R2 Summary"/>
      <sheetName val="RiskReview"/>
      <sheetName val="PriceAuthority"/>
      <sheetName val="Scope-SW-V5"/>
      <sheetName val="Scope-Controls"/>
      <sheetName val="Service OTR Summary"/>
      <sheetName val="BPPricing"/>
      <sheetName val="R3 SAP interface"/>
      <sheetName val="Revision Statu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pe-Global"/>
      <sheetName val="GPRack-BOM"/>
      <sheetName val="Instructions"/>
      <sheetName val="EX2100Export"/>
      <sheetName val="Customer Information"/>
      <sheetName val="RangeData"/>
      <sheetName val="Screening_Points"/>
      <sheetName val="Plant"/>
      <sheetName val="Applications"/>
      <sheetName val="WiTry"/>
      <sheetName val="Scope-HW"/>
      <sheetName val="Trendmaster Configure"/>
      <sheetName val="Scope-PartXRef"/>
      <sheetName val="Overspeed"/>
      <sheetName val="DM2K_Migration"/>
      <sheetName val="Scope-SW"/>
      <sheetName val="HW-SW"/>
      <sheetName val="PL"/>
      <sheetName val="ScopeDefaults"/>
      <sheetName val="Scope-GP-Others"/>
      <sheetName val="Spare Parts"/>
      <sheetName val="Scope-TMBOP"/>
      <sheetName val="PackSys"/>
      <sheetName val="FAT PRICING"/>
      <sheetName val="PROJECT ENGINEERING"/>
      <sheetName val="Scope-PM"/>
      <sheetName val="FormatTemplate"/>
      <sheetName val="Service Cal"/>
      <sheetName val="Service Pricing"/>
      <sheetName val="UsefulLinks"/>
      <sheetName val="3500 Rack Layout"/>
      <sheetName val="Parts List"/>
      <sheetName val="Compliance"/>
      <sheetName val="Quotation"/>
      <sheetName val="QuoteSetup"/>
      <sheetName val="QuoteLogic"/>
      <sheetName val="R2 Summary"/>
      <sheetName val="RiskReview"/>
      <sheetName val="PriceAuthority"/>
      <sheetName val="Scope-SW-V5"/>
      <sheetName val="Scope-Controls"/>
      <sheetName val="Service OTR Summary"/>
      <sheetName val="BPPricing"/>
      <sheetName val="R3 SAP interface"/>
      <sheetName val="Revision Statu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rvey"/>
      <sheetName val="EIS Field Template 1"/>
      <sheetName val="EIS Field Template 2"/>
      <sheetName val="HeaderData"/>
      <sheetName val="Units"/>
      <sheetName val="Tech Notes"/>
      <sheetName val="Sys-Aux Proposals"/>
      <sheetName val="Revision History"/>
      <sheetName val="Commercial Notes"/>
      <sheetName val="P-Design"/>
      <sheetName val="Material Code"/>
      <sheetName val="Terms &amp; Conditions"/>
    </sheetNames>
    <sheetDataSet>
      <sheetData sheetId="0"/>
      <sheetData sheetId="1" refreshError="1"/>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iginal Template - Demo"/>
      <sheetName val="Proposed Template"/>
      <sheetName val="Purchase Parts"/>
      <sheetName val="UoM"/>
    </sheetNames>
    <sheetDataSet>
      <sheetData sheetId="0"/>
      <sheetData sheetId="1"/>
      <sheetData sheetId="2"/>
      <sheetData sheetId="3"/>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EX2100Export"/>
      <sheetName val="Customer Information"/>
      <sheetName val="RangeData"/>
      <sheetName val="Screening_Points"/>
      <sheetName val="Plant"/>
      <sheetName val="Applications"/>
      <sheetName val="Scope-Controls"/>
      <sheetName val="Scope-HW"/>
      <sheetName val="Trendmaster Configure"/>
      <sheetName val="Screen-Hydro"/>
      <sheetName val="Screen-OPS"/>
      <sheetName val="PackSys"/>
      <sheetName val="Scope-SW"/>
      <sheetName val="Scope-PartXRef"/>
      <sheetName val="Scope-TMBOP"/>
      <sheetName val="HW-SW"/>
      <sheetName val="PL"/>
      <sheetName val="Spare Parts"/>
      <sheetName val="Service Cal"/>
      <sheetName val="Service Pricing"/>
      <sheetName val="3500 Rack Layout"/>
      <sheetName val="Parts List"/>
      <sheetName val="ScopeDefaults"/>
      <sheetName val="Quotation"/>
      <sheetName val="R2 Summary"/>
      <sheetName val="RRC"/>
      <sheetName val="PriceAuthority"/>
      <sheetName val="Margin Share"/>
      <sheetName val="Endnotes - Fixed Price"/>
      <sheetName val="Endnotes - Budgetary"/>
      <sheetName val="Service OTR Summary"/>
      <sheetName val="Scope-SW-V5"/>
      <sheetName val="Revision Statu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98F07-1604-45E1-B1E0-C9A03DA33FFE}">
  <sheetPr>
    <pageSetUpPr fitToPage="1"/>
  </sheetPr>
  <dimension ref="A1:T38"/>
  <sheetViews>
    <sheetView tabSelected="1" view="pageBreakPreview" topLeftCell="A24" zoomScale="110" zoomScaleSheetLayoutView="110" workbookViewId="0">
      <selection activeCell="E13" sqref="E13"/>
    </sheetView>
  </sheetViews>
  <sheetFormatPr defaultColWidth="6.44140625" defaultRowHeight="15.6" x14ac:dyDescent="0.25"/>
  <cols>
    <col min="1" max="1" width="2.5546875" style="30" customWidth="1"/>
    <col min="2" max="2" width="10.5546875" style="30" customWidth="1"/>
    <col min="3" max="17" width="8.5546875" style="30" customWidth="1"/>
    <col min="18" max="18" width="2.5546875" style="30" customWidth="1"/>
    <col min="19" max="19" width="2.6640625" style="66" customWidth="1"/>
    <col min="20" max="20" width="21.44140625" style="66" customWidth="1"/>
    <col min="21" max="16384" width="6.44140625" style="30"/>
  </cols>
  <sheetData>
    <row r="1" spans="1:18" x14ac:dyDescent="0.25">
      <c r="A1" s="81"/>
      <c r="B1" s="81"/>
    </row>
    <row r="2" spans="1:18" ht="18" x14ac:dyDescent="0.25">
      <c r="A2" s="81"/>
      <c r="B2" s="81"/>
      <c r="L2" s="83" t="s">
        <v>0</v>
      </c>
      <c r="M2" s="83"/>
      <c r="N2" s="83"/>
      <c r="O2" s="83"/>
      <c r="P2" s="83"/>
      <c r="Q2" s="83"/>
      <c r="R2" s="83"/>
    </row>
    <row r="3" spans="1:18" ht="16.5" customHeight="1" thickBot="1" x14ac:dyDescent="0.3">
      <c r="A3" s="82"/>
      <c r="B3" s="82"/>
      <c r="C3" s="67"/>
      <c r="D3" s="67"/>
      <c r="E3" s="67"/>
      <c r="F3" s="67"/>
      <c r="G3" s="67"/>
      <c r="H3" s="67"/>
      <c r="I3" s="67"/>
      <c r="J3" s="67"/>
      <c r="K3" s="67"/>
      <c r="L3" s="67"/>
      <c r="M3" s="67"/>
      <c r="N3" s="67"/>
      <c r="O3" s="67"/>
      <c r="P3" s="67"/>
      <c r="Q3" s="67"/>
      <c r="R3" s="67"/>
    </row>
    <row r="4" spans="1:18" ht="16.2" thickTop="1" x14ac:dyDescent="0.25">
      <c r="J4" s="68"/>
      <c r="K4" s="68"/>
      <c r="L4" s="68"/>
      <c r="M4" s="68"/>
    </row>
    <row r="5" spans="1:18" s="66" customFormat="1" x14ac:dyDescent="0.25">
      <c r="A5" s="30"/>
      <c r="B5" s="84">
        <v>46144</v>
      </c>
      <c r="C5" s="84"/>
      <c r="D5" s="1"/>
      <c r="E5" s="1"/>
      <c r="F5" s="1"/>
      <c r="G5" s="1"/>
      <c r="H5" s="1"/>
      <c r="I5" s="1"/>
      <c r="J5" s="39"/>
      <c r="K5" s="39"/>
      <c r="L5" s="39"/>
      <c r="M5" s="39"/>
      <c r="N5" s="1"/>
      <c r="O5" s="1"/>
      <c r="P5" s="1"/>
      <c r="Q5" s="1"/>
      <c r="R5" s="30"/>
    </row>
    <row r="6" spans="1:18" s="66" customFormat="1" x14ac:dyDescent="0.25">
      <c r="A6" s="30"/>
      <c r="B6" s="1" t="s">
        <v>1</v>
      </c>
      <c r="C6" s="40" t="s">
        <v>2</v>
      </c>
      <c r="D6" s="1"/>
      <c r="E6" s="1"/>
      <c r="F6" s="1"/>
      <c r="G6" s="1"/>
      <c r="H6" s="1"/>
      <c r="I6" s="1"/>
      <c r="J6" s="39"/>
      <c r="K6" s="39"/>
      <c r="L6" s="39"/>
      <c r="M6" s="39"/>
      <c r="N6" s="1"/>
      <c r="O6" s="1"/>
      <c r="P6" s="1"/>
      <c r="Q6" s="1"/>
      <c r="R6" s="30"/>
    </row>
    <row r="7" spans="1:18" s="66" customFormat="1" x14ac:dyDescent="0.25">
      <c r="A7" s="30"/>
      <c r="B7" s="41" t="s">
        <v>3</v>
      </c>
      <c r="C7" s="41" t="s">
        <v>4</v>
      </c>
      <c r="D7" s="1"/>
      <c r="E7" s="1"/>
      <c r="F7" s="1"/>
      <c r="G7" s="1"/>
      <c r="H7" s="1"/>
      <c r="I7" s="1"/>
      <c r="J7" s="39"/>
      <c r="K7" s="39"/>
      <c r="L7" s="39"/>
      <c r="M7" s="39"/>
      <c r="N7" s="1"/>
      <c r="O7" s="1"/>
      <c r="P7" s="1"/>
      <c r="Q7" s="1"/>
      <c r="R7" s="30"/>
    </row>
    <row r="8" spans="1:18" s="66" customFormat="1" x14ac:dyDescent="0.25">
      <c r="A8" s="30"/>
      <c r="B8" s="41" t="s">
        <v>5</v>
      </c>
      <c r="C8" s="41" t="s">
        <v>6</v>
      </c>
      <c r="D8" s="1"/>
      <c r="E8" s="1"/>
      <c r="F8" s="1"/>
      <c r="G8" s="1"/>
      <c r="H8" s="1"/>
      <c r="I8" s="1"/>
      <c r="J8" s="39"/>
      <c r="K8" s="39"/>
      <c r="L8" s="39"/>
      <c r="M8" s="39"/>
      <c r="N8" s="1"/>
      <c r="O8" s="1"/>
      <c r="P8" s="1"/>
      <c r="Q8" s="1"/>
      <c r="R8" s="30"/>
    </row>
    <row r="9" spans="1:18" s="66" customFormat="1" x14ac:dyDescent="0.25">
      <c r="A9" s="30"/>
      <c r="B9" s="41" t="s">
        <v>7</v>
      </c>
      <c r="C9" s="42" t="s">
        <v>8</v>
      </c>
      <c r="D9" s="1"/>
      <c r="E9" s="1"/>
      <c r="F9" s="1"/>
      <c r="G9" s="1"/>
      <c r="H9" s="1"/>
      <c r="I9" s="1"/>
      <c r="J9" s="39"/>
      <c r="K9" s="39"/>
      <c r="L9" s="39"/>
      <c r="M9" s="39"/>
      <c r="N9" s="1"/>
      <c r="O9" s="1"/>
      <c r="P9" s="1"/>
      <c r="Q9" s="1"/>
      <c r="R9" s="30"/>
    </row>
    <row r="10" spans="1:18" s="66" customFormat="1" x14ac:dyDescent="0.25">
      <c r="A10" s="30"/>
      <c r="B10" s="41"/>
      <c r="C10" s="42"/>
      <c r="D10" s="1"/>
      <c r="E10" s="1"/>
      <c r="F10" s="1"/>
      <c r="G10" s="1"/>
      <c r="H10" s="1"/>
      <c r="I10" s="1"/>
      <c r="J10" s="39"/>
      <c r="K10" s="39"/>
      <c r="L10" s="39"/>
      <c r="M10" s="39"/>
      <c r="N10" s="1"/>
      <c r="O10" s="1"/>
      <c r="P10" s="1"/>
      <c r="Q10" s="1"/>
      <c r="R10" s="30"/>
    </row>
    <row r="11" spans="1:18" s="66" customFormat="1" x14ac:dyDescent="0.25">
      <c r="A11" s="30"/>
      <c r="B11" s="23" t="s">
        <v>70</v>
      </c>
      <c r="C11" s="1"/>
      <c r="D11" s="1"/>
      <c r="E11" s="1"/>
      <c r="F11" s="1"/>
      <c r="G11" s="1"/>
      <c r="H11" s="1"/>
      <c r="I11" s="1"/>
      <c r="J11" s="39"/>
      <c r="K11" s="39"/>
      <c r="L11" s="1"/>
      <c r="M11" s="39"/>
      <c r="N11" s="1"/>
      <c r="O11" s="1"/>
      <c r="P11" s="1"/>
      <c r="Q11" s="1"/>
      <c r="R11" s="30"/>
    </row>
    <row r="12" spans="1:18" s="66" customFormat="1" x14ac:dyDescent="0.25">
      <c r="A12" s="30"/>
      <c r="B12" s="30" t="s">
        <v>71</v>
      </c>
      <c r="C12" s="1"/>
      <c r="D12" s="1"/>
      <c r="E12" s="1"/>
      <c r="F12" s="1"/>
      <c r="G12" s="1"/>
      <c r="H12" s="1"/>
      <c r="I12" s="1"/>
      <c r="J12" s="39"/>
      <c r="K12" s="39"/>
      <c r="L12" s="1"/>
      <c r="M12" s="39"/>
      <c r="N12" s="1"/>
      <c r="O12" s="1"/>
      <c r="P12" s="1"/>
      <c r="Q12" s="1"/>
      <c r="R12" s="30"/>
    </row>
    <row r="13" spans="1:18" s="66" customFormat="1" x14ac:dyDescent="0.25">
      <c r="A13" s="30"/>
      <c r="B13" s="30" t="s">
        <v>71</v>
      </c>
      <c r="C13" s="1"/>
      <c r="D13" s="1"/>
      <c r="E13" s="1"/>
      <c r="F13" s="1"/>
      <c r="G13" s="1"/>
      <c r="H13" s="1"/>
      <c r="I13" s="1"/>
      <c r="J13" s="39"/>
      <c r="K13" s="39"/>
      <c r="L13" s="1"/>
      <c r="M13" s="39"/>
      <c r="N13" s="1"/>
      <c r="O13" s="1"/>
      <c r="P13" s="1"/>
      <c r="Q13" s="1"/>
      <c r="R13" s="30"/>
    </row>
    <row r="14" spans="1:18" s="66" customFormat="1" x14ac:dyDescent="0.25">
      <c r="A14" s="30"/>
      <c r="B14" s="28" t="s">
        <v>72</v>
      </c>
      <c r="C14" s="1"/>
      <c r="D14" s="1"/>
      <c r="E14" s="1"/>
      <c r="F14" s="1"/>
      <c r="G14" s="1"/>
      <c r="H14" s="1"/>
      <c r="I14" s="1"/>
      <c r="J14" s="39"/>
      <c r="K14" s="39"/>
      <c r="L14" s="1"/>
      <c r="M14" s="39"/>
      <c r="N14" s="1"/>
      <c r="O14" s="1"/>
      <c r="P14" s="1"/>
      <c r="Q14" s="1"/>
      <c r="R14" s="30"/>
    </row>
    <row r="15" spans="1:18" s="66" customFormat="1" x14ac:dyDescent="0.25">
      <c r="A15" s="30"/>
      <c r="B15" s="28"/>
      <c r="C15" s="1"/>
      <c r="D15" s="1"/>
      <c r="E15" s="1"/>
      <c r="F15" s="1"/>
      <c r="G15" s="1"/>
      <c r="H15" s="1"/>
      <c r="I15" s="1"/>
      <c r="J15" s="39"/>
      <c r="K15" s="39"/>
      <c r="L15" s="1"/>
      <c r="M15" s="39"/>
      <c r="N15" s="1"/>
      <c r="O15" s="1"/>
      <c r="P15" s="1"/>
      <c r="Q15" s="1"/>
      <c r="R15" s="30"/>
    </row>
    <row r="16" spans="1:18" s="66" customFormat="1" x14ac:dyDescent="0.25">
      <c r="A16" s="30"/>
      <c r="B16" s="69" t="s">
        <v>9</v>
      </c>
      <c r="C16" s="70" t="s">
        <v>69</v>
      </c>
      <c r="D16" s="30"/>
      <c r="E16" s="1"/>
      <c r="F16" s="1"/>
      <c r="G16" s="1"/>
      <c r="H16" s="1"/>
      <c r="I16" s="1"/>
      <c r="J16" s="1"/>
      <c r="K16" s="1"/>
      <c r="L16" s="1"/>
      <c r="M16" s="1"/>
      <c r="N16" s="1"/>
      <c r="O16" s="1"/>
      <c r="P16" s="1"/>
      <c r="Q16" s="1"/>
      <c r="R16" s="30"/>
    </row>
    <row r="18" spans="1:18" s="66" customFormat="1" ht="15.6" customHeight="1" x14ac:dyDescent="0.25">
      <c r="A18" s="30"/>
      <c r="B18" s="1" t="s">
        <v>10</v>
      </c>
      <c r="C18" s="85" t="s">
        <v>73</v>
      </c>
      <c r="D18" s="85"/>
      <c r="E18" s="85"/>
      <c r="F18" s="85"/>
      <c r="G18" s="85"/>
      <c r="H18" s="85"/>
      <c r="I18" s="85"/>
      <c r="J18" s="85"/>
      <c r="K18" s="85"/>
      <c r="L18" s="85"/>
      <c r="M18" s="85"/>
      <c r="N18" s="85"/>
      <c r="O18" s="85"/>
      <c r="P18" s="85"/>
      <c r="Q18" s="85"/>
      <c r="R18" s="30"/>
    </row>
    <row r="20" spans="1:18" s="66" customFormat="1" ht="15.6" customHeight="1" x14ac:dyDescent="0.25">
      <c r="A20" s="30"/>
      <c r="B20" s="1" t="s">
        <v>11</v>
      </c>
      <c r="C20" s="86" t="s">
        <v>74</v>
      </c>
      <c r="D20" s="86"/>
      <c r="E20" s="86"/>
      <c r="F20" s="86"/>
      <c r="G20" s="86"/>
      <c r="H20" s="86"/>
      <c r="I20" s="86"/>
      <c r="J20" s="86"/>
      <c r="K20" s="86"/>
      <c r="L20" s="86"/>
      <c r="M20" s="86"/>
      <c r="N20" s="86"/>
      <c r="O20" s="86"/>
      <c r="P20" s="86"/>
      <c r="Q20" s="86"/>
      <c r="R20" s="30"/>
    </row>
    <row r="21" spans="1:18" s="66" customFormat="1" x14ac:dyDescent="0.25">
      <c r="A21" s="30"/>
      <c r="B21" s="30"/>
      <c r="C21" s="30"/>
      <c r="D21" s="30"/>
      <c r="E21" s="30"/>
      <c r="F21" s="30"/>
      <c r="G21" s="30"/>
      <c r="H21" s="30"/>
      <c r="I21" s="30"/>
      <c r="J21" s="68"/>
      <c r="K21" s="68"/>
      <c r="L21" s="68"/>
      <c r="M21" s="68"/>
      <c r="N21" s="30"/>
      <c r="O21" s="30"/>
      <c r="P21" s="30"/>
      <c r="Q21" s="30"/>
      <c r="R21" s="30"/>
    </row>
    <row r="22" spans="1:18" s="66" customFormat="1" x14ac:dyDescent="0.25">
      <c r="A22" s="30"/>
      <c r="B22" s="30" t="s">
        <v>12</v>
      </c>
      <c r="C22" s="30"/>
      <c r="D22" s="30"/>
      <c r="E22" s="30"/>
      <c r="F22" s="30"/>
      <c r="G22" s="30"/>
      <c r="H22" s="30"/>
      <c r="I22" s="30"/>
      <c r="J22" s="68"/>
      <c r="K22" s="68"/>
      <c r="L22" s="68"/>
      <c r="M22" s="68"/>
      <c r="N22" s="30"/>
      <c r="O22" s="30"/>
      <c r="P22" s="30"/>
      <c r="Q22" s="30"/>
      <c r="R22" s="30"/>
    </row>
    <row r="23" spans="1:18" s="66" customFormat="1" x14ac:dyDescent="0.25">
      <c r="A23" s="30"/>
      <c r="B23" s="30"/>
      <c r="C23" s="30"/>
      <c r="D23" s="30"/>
      <c r="E23" s="30"/>
      <c r="F23" s="30"/>
      <c r="G23" s="30"/>
      <c r="H23" s="30"/>
      <c r="I23" s="30"/>
      <c r="J23" s="68"/>
      <c r="K23" s="68"/>
      <c r="L23" s="68"/>
      <c r="M23" s="68"/>
      <c r="N23" s="30"/>
      <c r="O23" s="30"/>
      <c r="P23" s="30"/>
      <c r="Q23" s="30"/>
      <c r="R23" s="30"/>
    </row>
    <row r="24" spans="1:18" s="66" customFormat="1" ht="165.6" customHeight="1" x14ac:dyDescent="0.25">
      <c r="A24" s="30"/>
      <c r="B24" s="87" t="s">
        <v>13</v>
      </c>
      <c r="C24" s="87"/>
      <c r="D24" s="87"/>
      <c r="E24" s="87"/>
      <c r="F24" s="87"/>
      <c r="G24" s="87"/>
      <c r="H24" s="87"/>
      <c r="I24" s="87"/>
      <c r="J24" s="87"/>
      <c r="K24" s="87"/>
      <c r="L24" s="87"/>
      <c r="M24" s="87"/>
      <c r="N24" s="87"/>
      <c r="O24" s="87"/>
      <c r="P24" s="87"/>
      <c r="Q24" s="87"/>
      <c r="R24" s="43"/>
    </row>
    <row r="25" spans="1:18" s="66" customFormat="1" x14ac:dyDescent="0.25">
      <c r="A25" s="30"/>
      <c r="B25" s="43"/>
      <c r="C25" s="43"/>
      <c r="D25" s="43"/>
      <c r="E25" s="43"/>
      <c r="F25" s="43"/>
      <c r="G25" s="43"/>
      <c r="H25" s="43"/>
      <c r="I25" s="43"/>
      <c r="J25" s="43"/>
      <c r="K25" s="43"/>
      <c r="L25" s="43"/>
      <c r="M25" s="43"/>
      <c r="N25" s="43"/>
      <c r="O25" s="43"/>
      <c r="P25" s="43"/>
      <c r="Q25" s="43"/>
      <c r="R25" s="43"/>
    </row>
    <row r="26" spans="1:18" s="66" customFormat="1" ht="150.6" customHeight="1" x14ac:dyDescent="0.25">
      <c r="A26" s="30"/>
      <c r="B26" s="87" t="s">
        <v>14</v>
      </c>
      <c r="C26" s="87"/>
      <c r="D26" s="87"/>
      <c r="E26" s="87"/>
      <c r="F26" s="87"/>
      <c r="G26" s="87"/>
      <c r="H26" s="87"/>
      <c r="I26" s="87"/>
      <c r="J26" s="87"/>
      <c r="K26" s="87"/>
      <c r="L26" s="87"/>
      <c r="M26" s="87"/>
      <c r="N26" s="87"/>
      <c r="O26" s="87"/>
      <c r="P26" s="87"/>
      <c r="Q26" s="87"/>
      <c r="R26" s="30"/>
    </row>
    <row r="27" spans="1:18" s="66" customFormat="1" x14ac:dyDescent="0.25">
      <c r="A27" s="30"/>
      <c r="B27" s="43"/>
      <c r="C27" s="43"/>
      <c r="D27" s="43"/>
      <c r="E27" s="43"/>
      <c r="F27" s="43"/>
      <c r="G27" s="43"/>
      <c r="H27" s="43"/>
      <c r="I27" s="43"/>
      <c r="J27" s="43"/>
      <c r="K27" s="43"/>
      <c r="L27" s="43"/>
      <c r="M27" s="43"/>
      <c r="N27" s="43"/>
      <c r="O27" s="43"/>
      <c r="P27" s="43"/>
      <c r="Q27" s="43"/>
      <c r="R27" s="30"/>
    </row>
    <row r="28" spans="1:18" s="66" customFormat="1" x14ac:dyDescent="0.25">
      <c r="A28" s="30"/>
      <c r="B28" s="30"/>
      <c r="C28" s="30"/>
      <c r="D28" s="30"/>
      <c r="E28" s="30"/>
      <c r="F28" s="30"/>
      <c r="G28" s="30"/>
      <c r="H28" s="30"/>
      <c r="I28" s="30"/>
      <c r="J28" s="68"/>
      <c r="K28" s="68"/>
      <c r="L28" s="68"/>
      <c r="M28" s="68"/>
      <c r="N28" s="30"/>
      <c r="O28" s="30"/>
      <c r="P28" s="30"/>
      <c r="Q28" s="30"/>
      <c r="R28" s="30"/>
    </row>
    <row r="29" spans="1:18" s="66" customFormat="1" x14ac:dyDescent="0.25">
      <c r="A29" s="30"/>
      <c r="B29" s="30"/>
      <c r="C29" s="30"/>
      <c r="D29" s="30"/>
      <c r="E29" s="30"/>
      <c r="F29" s="30"/>
      <c r="G29" s="30"/>
      <c r="H29" s="30"/>
      <c r="I29" s="30"/>
      <c r="J29" s="68"/>
      <c r="K29" s="68"/>
      <c r="L29" s="68"/>
      <c r="M29" s="68"/>
      <c r="N29" s="30"/>
      <c r="O29" s="30"/>
      <c r="P29" s="30"/>
      <c r="Q29" s="30"/>
      <c r="R29" s="30"/>
    </row>
    <row r="30" spans="1:18" s="66" customFormat="1" x14ac:dyDescent="0.25">
      <c r="A30" s="30"/>
      <c r="B30" s="30"/>
      <c r="C30" s="30"/>
      <c r="D30" s="30"/>
      <c r="E30" s="30"/>
      <c r="F30" s="30"/>
      <c r="G30" s="30"/>
      <c r="H30" s="30"/>
      <c r="I30" s="30"/>
      <c r="J30" s="68"/>
      <c r="K30" s="68"/>
      <c r="L30" s="68"/>
      <c r="M30" s="68"/>
      <c r="N30" s="30"/>
      <c r="O30" s="30"/>
      <c r="P30" s="30"/>
      <c r="Q30" s="30"/>
      <c r="R30" s="30"/>
    </row>
    <row r="31" spans="1:18" s="66" customFormat="1" x14ac:dyDescent="0.25">
      <c r="A31" s="30"/>
      <c r="B31" s="30"/>
      <c r="C31" s="30"/>
      <c r="D31" s="30"/>
      <c r="E31" s="30"/>
      <c r="F31" s="30"/>
      <c r="G31" s="30"/>
      <c r="H31" s="30"/>
      <c r="I31" s="30"/>
      <c r="J31" s="68"/>
      <c r="K31" s="68"/>
      <c r="L31" s="68"/>
      <c r="M31" s="68"/>
      <c r="N31" s="30"/>
      <c r="O31" s="30"/>
      <c r="P31" s="30"/>
      <c r="Q31" s="30"/>
      <c r="R31" s="30"/>
    </row>
    <row r="32" spans="1:18" s="66" customFormat="1" x14ac:dyDescent="0.25">
      <c r="A32" s="30"/>
      <c r="B32" s="30"/>
      <c r="C32" s="30"/>
      <c r="D32" s="30"/>
      <c r="E32" s="30"/>
      <c r="F32" s="30"/>
      <c r="G32" s="30"/>
      <c r="H32" s="30"/>
      <c r="I32" s="30"/>
      <c r="J32" s="68"/>
      <c r="K32" s="68"/>
      <c r="L32" s="68"/>
      <c r="M32" s="68"/>
      <c r="N32" s="30"/>
      <c r="O32" s="30"/>
      <c r="P32" s="30"/>
      <c r="Q32" s="30"/>
      <c r="R32" s="30"/>
    </row>
    <row r="33" spans="1:18" s="66" customFormat="1" x14ac:dyDescent="0.25">
      <c r="A33" s="30"/>
      <c r="B33" s="30"/>
      <c r="C33" s="30"/>
      <c r="D33" s="30"/>
      <c r="E33" s="30"/>
      <c r="F33" s="30"/>
      <c r="G33" s="30"/>
      <c r="H33" s="30"/>
      <c r="I33" s="30"/>
      <c r="J33" s="68"/>
      <c r="K33" s="68"/>
      <c r="L33" s="68"/>
      <c r="M33" s="68"/>
      <c r="N33" s="30"/>
      <c r="O33" s="30"/>
      <c r="P33" s="30"/>
      <c r="Q33" s="30"/>
      <c r="R33" s="30"/>
    </row>
    <row r="36" spans="1:18" s="66" customFormat="1" x14ac:dyDescent="0.25">
      <c r="A36" s="88"/>
      <c r="B36" s="88"/>
      <c r="C36" s="88"/>
      <c r="D36" s="88"/>
      <c r="E36" s="88"/>
      <c r="F36" s="88"/>
      <c r="G36" s="88"/>
      <c r="H36" s="88"/>
      <c r="I36" s="88"/>
      <c r="J36" s="88"/>
      <c r="K36" s="88"/>
      <c r="L36" s="88"/>
      <c r="M36" s="88"/>
      <c r="N36" s="88"/>
      <c r="O36" s="88"/>
      <c r="P36" s="80"/>
      <c r="Q36" s="80"/>
      <c r="R36" s="80"/>
    </row>
    <row r="37" spans="1:18" s="66" customFormat="1" x14ac:dyDescent="0.25">
      <c r="A37" s="89"/>
      <c r="B37" s="89"/>
      <c r="C37" s="89"/>
      <c r="D37" s="89"/>
      <c r="E37" s="89"/>
      <c r="F37" s="89"/>
      <c r="G37" s="89"/>
      <c r="H37" s="89"/>
      <c r="I37" s="89"/>
      <c r="J37" s="89"/>
      <c r="K37" s="89"/>
      <c r="L37" s="89"/>
      <c r="M37" s="89"/>
      <c r="N37" s="89"/>
      <c r="O37" s="89"/>
      <c r="P37" s="80"/>
      <c r="Q37" s="80"/>
      <c r="R37" s="80"/>
    </row>
    <row r="38" spans="1:18" s="66" customFormat="1" x14ac:dyDescent="0.25">
      <c r="A38" s="30"/>
      <c r="B38" s="30"/>
      <c r="C38" s="30"/>
      <c r="D38" s="30"/>
      <c r="E38" s="30"/>
      <c r="F38" s="30"/>
      <c r="G38" s="30"/>
      <c r="H38" s="30"/>
      <c r="I38" s="30"/>
      <c r="J38" s="30"/>
      <c r="K38" s="30"/>
      <c r="L38" s="30"/>
      <c r="M38" s="30"/>
      <c r="N38" s="30"/>
      <c r="O38" s="30"/>
      <c r="P38" s="79"/>
      <c r="Q38" s="80"/>
      <c r="R38" s="80"/>
    </row>
  </sheetData>
  <mergeCells count="12">
    <mergeCell ref="P38:R38"/>
    <mergeCell ref="A1:B3"/>
    <mergeCell ref="L2:R2"/>
    <mergeCell ref="B5:C5"/>
    <mergeCell ref="C18:Q18"/>
    <mergeCell ref="C20:Q20"/>
    <mergeCell ref="B24:Q24"/>
    <mergeCell ref="B26:Q26"/>
    <mergeCell ref="A36:O36"/>
    <mergeCell ref="P36:R36"/>
    <mergeCell ref="A37:O37"/>
    <mergeCell ref="P37:R37"/>
  </mergeCells>
  <dataValidations count="2">
    <dataValidation type="list" allowBlank="1" showInputMessage="1" showErrorMessage="1" sqref="C8" xr:uid="{631D95E2-7758-413B-8CCE-02E8A589178A}">
      <formula1>"Unpriced, Priced"</formula1>
    </dataValidation>
    <dataValidation type="list" allowBlank="1" showInputMessage="1" showErrorMessage="1" sqref="C7" xr:uid="{43D2D0BF-DA3A-4557-8350-F54087AEFC01}">
      <formula1>"Non Binding, Binding, Budgetary"</formula1>
    </dataValidation>
  </dataValidations>
  <printOptions horizontalCentered="1"/>
  <pageMargins left="0.19685039370078741" right="0.19685039370078741" top="0.39370078740157483" bottom="0.39370078740157483" header="0.19685039370078741" footer="0.19685039370078741"/>
  <pageSetup paperSize="9" scale="71" orientation="portrait" r:id="rId1"/>
  <headerFooter alignWithMargins="0">
    <oddFooter>&amp;C&amp;"Candara,Bold"&amp;11&amp;K0000FFModAE India Private Limited
7th Floor, Commerce Mantri, 12, 1 &amp; 2, Bannerghatta Road, BTM Layout, 2nd Stage, BTM Layout,  Bangalore, Karnataka 560 076
CIN: U62099KA2024PTC185715, GST: 29AARCM8622J1ZQ</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26D45-1792-4EEA-A570-FDE11527AAA8}">
  <sheetPr>
    <pageSetUpPr fitToPage="1"/>
  </sheetPr>
  <dimension ref="B2:Y41"/>
  <sheetViews>
    <sheetView view="pageBreakPreview" topLeftCell="C1" zoomScale="90" zoomScaleNormal="100" zoomScaleSheetLayoutView="90" workbookViewId="0">
      <selection activeCell="N4" sqref="N4"/>
    </sheetView>
  </sheetViews>
  <sheetFormatPr defaultColWidth="8.6640625" defaultRowHeight="16.2" customHeight="1" x14ac:dyDescent="0.25"/>
  <cols>
    <col min="1" max="1" width="2.6640625" style="2" customWidth="1"/>
    <col min="2" max="2" width="12.5546875" style="8" customWidth="1"/>
    <col min="3" max="3" width="75.33203125" style="8" customWidth="1"/>
    <col min="4" max="4" width="32.33203125" style="2" bestFit="1" customWidth="1"/>
    <col min="5" max="5" width="5.6640625" style="2" customWidth="1"/>
    <col min="6" max="7" width="12.6640625" style="2" customWidth="1"/>
    <col min="8" max="8" width="2.6640625" style="2" customWidth="1"/>
    <col min="9" max="9" width="2.6640625" style="12" customWidth="1"/>
    <col min="10" max="13" width="12.6640625" style="12" customWidth="1"/>
    <col min="14" max="14" width="11.33203125" style="12" bestFit="1" customWidth="1"/>
    <col min="15" max="15" width="13.5546875" style="12" bestFit="1" customWidth="1"/>
    <col min="16" max="16" width="28.109375" style="12" customWidth="1"/>
    <col min="17" max="17" width="8.6640625" style="12"/>
    <col min="18" max="16384" width="8.6640625" style="2"/>
  </cols>
  <sheetData>
    <row r="2" spans="2:25" ht="16.2" customHeight="1" thickBot="1" x14ac:dyDescent="0.3">
      <c r="J2" s="75" t="s">
        <v>15</v>
      </c>
      <c r="K2" s="75"/>
      <c r="L2" s="75"/>
      <c r="M2" s="75"/>
      <c r="N2" s="90"/>
      <c r="O2" s="91" t="s">
        <v>16</v>
      </c>
      <c r="P2" s="92"/>
    </row>
    <row r="3" spans="2:25" ht="18" customHeight="1" thickTop="1" x14ac:dyDescent="0.25">
      <c r="G3" s="71" t="s">
        <v>0</v>
      </c>
      <c r="J3" s="57" t="s">
        <v>17</v>
      </c>
      <c r="K3" s="58">
        <f>ROUNDUP(111.17+1,0)</f>
        <v>113</v>
      </c>
      <c r="L3" s="59" t="s">
        <v>18</v>
      </c>
      <c r="M3" s="60">
        <f>M18</f>
        <v>0</v>
      </c>
      <c r="N3" s="93"/>
      <c r="O3" s="94" t="s">
        <v>19</v>
      </c>
      <c r="P3" s="92"/>
    </row>
    <row r="4" spans="2:25" ht="16.2" customHeight="1" x14ac:dyDescent="0.25">
      <c r="J4" s="48" t="s">
        <v>20</v>
      </c>
      <c r="K4" s="53">
        <v>0.35</v>
      </c>
      <c r="L4" s="48" t="s">
        <v>21</v>
      </c>
      <c r="M4" s="49"/>
      <c r="N4" s="90"/>
      <c r="O4" s="91" t="s">
        <v>22</v>
      </c>
      <c r="P4" s="92"/>
    </row>
    <row r="5" spans="2:25" ht="18" customHeight="1" x14ac:dyDescent="0.25">
      <c r="B5" s="76"/>
      <c r="C5" s="76"/>
      <c r="D5" s="76"/>
      <c r="E5" s="76"/>
      <c r="F5" s="76"/>
      <c r="G5" s="76"/>
      <c r="J5" s="48" t="s">
        <v>23</v>
      </c>
      <c r="K5" s="53">
        <v>0.15</v>
      </c>
      <c r="L5" s="51" t="s">
        <v>24</v>
      </c>
      <c r="M5" s="52"/>
      <c r="N5" s="90"/>
      <c r="O5" s="94" t="s">
        <v>25</v>
      </c>
      <c r="P5" s="92"/>
    </row>
    <row r="6" spans="2:25" ht="16.2" customHeight="1" x14ac:dyDescent="0.25">
      <c r="J6" s="48" t="s">
        <v>26</v>
      </c>
      <c r="K6" s="65">
        <f>K3*(1-K$4)*(1+K$5)</f>
        <v>84.467500000000001</v>
      </c>
      <c r="L6" s="48" t="s">
        <v>27</v>
      </c>
      <c r="M6" s="61"/>
      <c r="N6" s="90"/>
      <c r="O6" s="94" t="s">
        <v>28</v>
      </c>
      <c r="P6" s="92"/>
    </row>
    <row r="7" spans="2:25" ht="16.2" customHeight="1" x14ac:dyDescent="0.25">
      <c r="N7" s="55"/>
      <c r="O7" s="54"/>
      <c r="P7" s="47"/>
    </row>
    <row r="8" spans="2:25" ht="16.2" customHeight="1" x14ac:dyDescent="0.25">
      <c r="B8" s="34" t="s">
        <v>29</v>
      </c>
      <c r="C8" s="3" t="s">
        <v>30</v>
      </c>
      <c r="Y8" s="12"/>
    </row>
    <row r="9" spans="2:25" ht="16.2" customHeight="1" thickBot="1" x14ac:dyDescent="0.3">
      <c r="B9" s="5" t="s">
        <v>31</v>
      </c>
      <c r="C9" s="24" t="s">
        <v>32</v>
      </c>
      <c r="D9" s="5" t="s">
        <v>33</v>
      </c>
      <c r="E9" s="5" t="s">
        <v>34</v>
      </c>
      <c r="F9" s="5" t="s">
        <v>35</v>
      </c>
      <c r="G9" s="5" t="s">
        <v>36</v>
      </c>
      <c r="J9" s="13" t="s">
        <v>35</v>
      </c>
      <c r="K9" s="13" t="s">
        <v>36</v>
      </c>
      <c r="L9" s="13" t="s">
        <v>37</v>
      </c>
      <c r="M9" s="13" t="s">
        <v>38</v>
      </c>
      <c r="N9" s="13" t="s">
        <v>39</v>
      </c>
      <c r="O9" s="13" t="s">
        <v>40</v>
      </c>
    </row>
    <row r="10" spans="2:25" ht="30" customHeight="1" thickTop="1" x14ac:dyDescent="0.3">
      <c r="B10" s="29">
        <v>1</v>
      </c>
      <c r="C10" s="35" t="s">
        <v>41</v>
      </c>
      <c r="D10" s="62" t="s">
        <v>42</v>
      </c>
      <c r="E10" s="25">
        <v>10</v>
      </c>
      <c r="F10" s="19"/>
      <c r="G10" s="20">
        <f>F10*E10</f>
        <v>0</v>
      </c>
      <c r="J10" s="26">
        <f t="shared" ref="J10:J17" si="0">(L10/(1-M$6))</f>
        <v>0</v>
      </c>
      <c r="K10" s="26">
        <f t="shared" ref="K10:K17" si="1">J10*E10</f>
        <v>0</v>
      </c>
      <c r="L10" s="26">
        <f t="shared" ref="L10:L17" si="2">N10*K$6</f>
        <v>0</v>
      </c>
      <c r="M10" s="26">
        <f t="shared" ref="M10:M17" si="3">L10*E10</f>
        <v>0</v>
      </c>
      <c r="N10" s="27"/>
      <c r="O10" s="27">
        <f t="shared" ref="O10:O17" si="4">N10*E10</f>
        <v>0</v>
      </c>
      <c r="Q10" s="50"/>
    </row>
    <row r="11" spans="2:25" ht="30" customHeight="1" x14ac:dyDescent="0.3">
      <c r="B11" s="29">
        <v>2</v>
      </c>
      <c r="C11" s="35" t="s">
        <v>43</v>
      </c>
      <c r="D11" s="63" t="s">
        <v>44</v>
      </c>
      <c r="E11" s="25">
        <v>10</v>
      </c>
      <c r="F11" s="19"/>
      <c r="G11" s="20">
        <f>F11*E11</f>
        <v>0</v>
      </c>
      <c r="J11" s="26">
        <f t="shared" si="0"/>
        <v>0</v>
      </c>
      <c r="K11" s="26">
        <f t="shared" si="1"/>
        <v>0</v>
      </c>
      <c r="L11" s="26">
        <f t="shared" si="2"/>
        <v>0</v>
      </c>
      <c r="M11" s="26">
        <f t="shared" si="3"/>
        <v>0</v>
      </c>
      <c r="N11" s="27"/>
      <c r="O11" s="27">
        <f t="shared" si="4"/>
        <v>0</v>
      </c>
      <c r="Q11" s="50"/>
    </row>
    <row r="12" spans="2:25" ht="15" customHeight="1" x14ac:dyDescent="0.25">
      <c r="B12" s="29">
        <v>3</v>
      </c>
      <c r="C12" s="36" t="s">
        <v>45</v>
      </c>
      <c r="D12" s="63" t="s">
        <v>46</v>
      </c>
      <c r="E12" s="25">
        <v>15</v>
      </c>
      <c r="F12" s="19"/>
      <c r="G12" s="20">
        <f>F12*E12</f>
        <v>0</v>
      </c>
      <c r="J12" s="26">
        <f t="shared" si="0"/>
        <v>0</v>
      </c>
      <c r="K12" s="26">
        <f t="shared" si="1"/>
        <v>0</v>
      </c>
      <c r="L12" s="26">
        <f t="shared" si="2"/>
        <v>0</v>
      </c>
      <c r="M12" s="26">
        <f t="shared" si="3"/>
        <v>0</v>
      </c>
      <c r="N12" s="27"/>
      <c r="O12" s="27">
        <f t="shared" si="4"/>
        <v>0</v>
      </c>
      <c r="Q12" s="50"/>
    </row>
    <row r="13" spans="2:25" ht="30" customHeight="1" x14ac:dyDescent="0.25">
      <c r="B13" s="29">
        <v>4</v>
      </c>
      <c r="C13" s="36" t="s">
        <v>47</v>
      </c>
      <c r="D13" s="63" t="s">
        <v>48</v>
      </c>
      <c r="E13" s="25">
        <v>10</v>
      </c>
      <c r="F13" s="19"/>
      <c r="G13" s="20">
        <f t="shared" ref="G13:G17" si="5">F13*E13</f>
        <v>0</v>
      </c>
      <c r="J13" s="26">
        <f t="shared" si="0"/>
        <v>0</v>
      </c>
      <c r="K13" s="26">
        <f t="shared" si="1"/>
        <v>0</v>
      </c>
      <c r="L13" s="26">
        <f t="shared" si="2"/>
        <v>0</v>
      </c>
      <c r="M13" s="26">
        <f t="shared" si="3"/>
        <v>0</v>
      </c>
      <c r="N13" s="27"/>
      <c r="O13" s="27">
        <f t="shared" si="4"/>
        <v>0</v>
      </c>
      <c r="Q13" s="50"/>
    </row>
    <row r="14" spans="2:25" ht="15" customHeight="1" x14ac:dyDescent="0.25">
      <c r="B14" s="25">
        <v>5</v>
      </c>
      <c r="C14" s="31" t="s">
        <v>49</v>
      </c>
      <c r="D14" s="64" t="s">
        <v>50</v>
      </c>
      <c r="E14" s="25">
        <v>10</v>
      </c>
      <c r="F14" s="19"/>
      <c r="G14" s="32">
        <f t="shared" si="5"/>
        <v>0</v>
      </c>
      <c r="J14" s="26">
        <f t="shared" si="0"/>
        <v>0</v>
      </c>
      <c r="K14" s="26">
        <f t="shared" si="1"/>
        <v>0</v>
      </c>
      <c r="L14" s="26">
        <f t="shared" si="2"/>
        <v>0</v>
      </c>
      <c r="M14" s="26">
        <f t="shared" si="3"/>
        <v>0</v>
      </c>
      <c r="N14" s="27"/>
      <c r="O14" s="27">
        <f t="shared" si="4"/>
        <v>0</v>
      </c>
      <c r="Q14" s="50"/>
    </row>
    <row r="15" spans="2:25" ht="15" customHeight="1" x14ac:dyDescent="0.25">
      <c r="B15" s="25">
        <v>6</v>
      </c>
      <c r="C15" s="31" t="s">
        <v>51</v>
      </c>
      <c r="D15" s="64" t="s">
        <v>52</v>
      </c>
      <c r="E15" s="25">
        <v>1</v>
      </c>
      <c r="F15" s="19"/>
      <c r="G15" s="32">
        <f t="shared" si="5"/>
        <v>0</v>
      </c>
      <c r="J15" s="26">
        <f t="shared" si="0"/>
        <v>0</v>
      </c>
      <c r="K15" s="26">
        <f t="shared" si="1"/>
        <v>0</v>
      </c>
      <c r="L15" s="26">
        <f t="shared" si="2"/>
        <v>0</v>
      </c>
      <c r="M15" s="26">
        <f t="shared" si="3"/>
        <v>0</v>
      </c>
      <c r="N15" s="27"/>
      <c r="O15" s="27">
        <f t="shared" si="4"/>
        <v>0</v>
      </c>
      <c r="Q15" s="50"/>
    </row>
    <row r="16" spans="2:25" ht="15" customHeight="1" x14ac:dyDescent="0.25">
      <c r="B16" s="25">
        <v>7</v>
      </c>
      <c r="C16" s="31" t="s">
        <v>53</v>
      </c>
      <c r="D16" s="64" t="s">
        <v>52</v>
      </c>
      <c r="E16" s="25">
        <v>1</v>
      </c>
      <c r="F16" s="19"/>
      <c r="G16" s="32">
        <f t="shared" si="5"/>
        <v>0</v>
      </c>
      <c r="J16" s="26">
        <f t="shared" si="0"/>
        <v>0</v>
      </c>
      <c r="K16" s="26">
        <f t="shared" si="1"/>
        <v>0</v>
      </c>
      <c r="L16" s="26">
        <f t="shared" si="2"/>
        <v>0</v>
      </c>
      <c r="M16" s="26">
        <f t="shared" si="3"/>
        <v>0</v>
      </c>
      <c r="N16" s="27"/>
      <c r="O16" s="27">
        <f t="shared" si="4"/>
        <v>0</v>
      </c>
      <c r="Q16" s="50"/>
    </row>
    <row r="17" spans="2:17" ht="15" customHeight="1" thickBot="1" x14ac:dyDescent="0.3">
      <c r="B17" s="44">
        <v>8</v>
      </c>
      <c r="C17" s="31" t="s">
        <v>54</v>
      </c>
      <c r="D17" s="64" t="s">
        <v>52</v>
      </c>
      <c r="E17" s="25">
        <v>1</v>
      </c>
      <c r="F17" s="19"/>
      <c r="G17" s="32">
        <f t="shared" si="5"/>
        <v>0</v>
      </c>
      <c r="J17" s="38">
        <f t="shared" si="0"/>
        <v>0</v>
      </c>
      <c r="K17" s="38">
        <f t="shared" si="1"/>
        <v>0</v>
      </c>
      <c r="L17" s="38">
        <f t="shared" si="2"/>
        <v>0</v>
      </c>
      <c r="M17" s="38">
        <f t="shared" si="3"/>
        <v>0</v>
      </c>
      <c r="N17" s="33"/>
      <c r="O17" s="33">
        <f t="shared" si="4"/>
        <v>0</v>
      </c>
      <c r="Q17" s="50"/>
    </row>
    <row r="18" spans="2:17" ht="16.2" customHeight="1" thickTop="1" x14ac:dyDescent="0.25">
      <c r="B18" s="6" t="s">
        <v>55</v>
      </c>
      <c r="C18" s="21" t="str">
        <f>C8</f>
        <v>Proposal For B&amp;K Vibro Spare Sensors &amp; Accessories</v>
      </c>
      <c r="D18" s="21"/>
      <c r="E18" s="73"/>
      <c r="F18" s="77">
        <f>SUM(G10:G17)</f>
        <v>0</v>
      </c>
      <c r="G18" s="78"/>
      <c r="J18" s="14" t="s">
        <v>36</v>
      </c>
      <c r="K18" s="15">
        <f>SUM(K10:K17)</f>
        <v>0</v>
      </c>
      <c r="L18" s="16" t="s">
        <v>38</v>
      </c>
      <c r="M18" s="15">
        <f>SUM(M10:M17)</f>
        <v>0</v>
      </c>
      <c r="N18" s="17" t="s">
        <v>40</v>
      </c>
      <c r="O18" s="18">
        <f>SUM(O10:O17)</f>
        <v>0</v>
      </c>
    </row>
    <row r="19" spans="2:17" ht="16.2" customHeight="1" x14ac:dyDescent="0.25">
      <c r="C19" s="4"/>
      <c r="D19" s="4"/>
      <c r="E19" s="4"/>
      <c r="F19" s="7"/>
      <c r="G19" s="7"/>
      <c r="K19" s="50"/>
      <c r="N19" s="72" t="s">
        <v>56</v>
      </c>
      <c r="O19" s="46">
        <f>O18*(1-K4)</f>
        <v>0</v>
      </c>
    </row>
    <row r="20" spans="2:17" ht="16.2" customHeight="1" x14ac:dyDescent="0.25">
      <c r="B20" s="3" t="s">
        <v>57</v>
      </c>
      <c r="C20" s="4"/>
      <c r="J20" s="45"/>
    </row>
    <row r="21" spans="2:17" ht="16.2" customHeight="1" x14ac:dyDescent="0.25">
      <c r="B21" s="56" t="s">
        <v>58</v>
      </c>
      <c r="C21" s="9"/>
      <c r="F21" s="10"/>
      <c r="G21" s="10"/>
      <c r="H21" s="9"/>
      <c r="J21" s="45"/>
    </row>
    <row r="22" spans="2:17" ht="16.2" customHeight="1" x14ac:dyDescent="0.25">
      <c r="B22" s="74" t="s">
        <v>59</v>
      </c>
      <c r="C22" s="9"/>
      <c r="F22" s="10"/>
      <c r="G22" s="10"/>
      <c r="H22" s="9"/>
      <c r="J22" s="45"/>
    </row>
    <row r="23" spans="2:17" ht="16.2" customHeight="1" x14ac:dyDescent="0.25">
      <c r="B23" s="74" t="s">
        <v>60</v>
      </c>
      <c r="C23" s="9"/>
      <c r="F23" s="10"/>
      <c r="G23" s="10"/>
      <c r="H23" s="9"/>
      <c r="J23" s="45"/>
    </row>
    <row r="24" spans="2:17" ht="16.2" customHeight="1" x14ac:dyDescent="0.25">
      <c r="B24" s="74" t="s">
        <v>61</v>
      </c>
      <c r="C24" s="9"/>
      <c r="F24" s="10"/>
      <c r="G24" s="10"/>
      <c r="H24" s="9"/>
      <c r="J24" s="45"/>
    </row>
    <row r="25" spans="2:17" ht="16.2" customHeight="1" x14ac:dyDescent="0.25">
      <c r="B25" s="56" t="s">
        <v>62</v>
      </c>
      <c r="C25" s="9"/>
      <c r="F25" s="10"/>
      <c r="G25" s="10"/>
      <c r="H25" s="9"/>
      <c r="J25" s="37"/>
    </row>
    <row r="26" spans="2:17" ht="16.2" customHeight="1" x14ac:dyDescent="0.25">
      <c r="B26" s="56" t="s">
        <v>63</v>
      </c>
      <c r="C26" s="9"/>
      <c r="F26" s="10"/>
      <c r="G26" s="10"/>
      <c r="H26" s="9"/>
    </row>
    <row r="27" spans="2:17" ht="16.2" customHeight="1" x14ac:dyDescent="0.25">
      <c r="B27" s="56" t="s">
        <v>64</v>
      </c>
      <c r="C27" s="9"/>
      <c r="F27" s="10"/>
      <c r="G27" s="10"/>
      <c r="H27" s="9"/>
      <c r="L27" s="45"/>
    </row>
    <row r="28" spans="2:17" ht="16.2" customHeight="1" x14ac:dyDescent="0.25">
      <c r="B28" s="56" t="s">
        <v>65</v>
      </c>
      <c r="C28" s="9"/>
      <c r="F28" s="10"/>
      <c r="G28" s="10"/>
      <c r="H28" s="9"/>
    </row>
    <row r="29" spans="2:17" ht="16.2" customHeight="1" x14ac:dyDescent="0.25">
      <c r="B29" s="56" t="s">
        <v>66</v>
      </c>
      <c r="C29" s="9"/>
      <c r="F29" s="10"/>
      <c r="G29" s="10"/>
      <c r="H29" s="9"/>
    </row>
    <row r="30" spans="2:17" ht="16.2" customHeight="1" x14ac:dyDescent="0.25">
      <c r="B30" s="56" t="s">
        <v>67</v>
      </c>
      <c r="C30" s="9"/>
      <c r="F30" s="10"/>
      <c r="G30" s="10"/>
      <c r="H30" s="9"/>
    </row>
    <row r="31" spans="2:17" ht="16.2" customHeight="1" x14ac:dyDescent="0.25">
      <c r="B31" s="56" t="s">
        <v>68</v>
      </c>
      <c r="C31" s="9"/>
      <c r="F31" s="10"/>
      <c r="G31" s="10"/>
      <c r="H31" s="9"/>
    </row>
    <row r="34" spans="4:7" ht="16.2" customHeight="1" x14ac:dyDescent="0.25">
      <c r="G34" s="22"/>
    </row>
    <row r="35" spans="4:7" ht="16.2" customHeight="1" x14ac:dyDescent="0.25">
      <c r="D35" s="11"/>
    </row>
    <row r="36" spans="4:7" ht="16.2" customHeight="1" x14ac:dyDescent="0.25">
      <c r="D36" s="11"/>
    </row>
    <row r="37" spans="4:7" ht="16.2" customHeight="1" x14ac:dyDescent="0.25">
      <c r="D37" s="11"/>
    </row>
    <row r="38" spans="4:7" ht="16.2" customHeight="1" x14ac:dyDescent="0.25">
      <c r="D38" s="11"/>
    </row>
    <row r="39" spans="4:7" ht="16.2" customHeight="1" x14ac:dyDescent="0.25">
      <c r="D39" s="11"/>
    </row>
    <row r="40" spans="4:7" ht="16.2" customHeight="1" x14ac:dyDescent="0.25">
      <c r="D40" s="11"/>
    </row>
    <row r="41" spans="4:7" ht="16.2" customHeight="1" x14ac:dyDescent="0.25">
      <c r="D41" s="11"/>
    </row>
  </sheetData>
  <mergeCells count="3">
    <mergeCell ref="J2:M2"/>
    <mergeCell ref="B5:G5"/>
    <mergeCell ref="F18:G18"/>
  </mergeCells>
  <printOptions horizontalCentered="1"/>
  <pageMargins left="0.25" right="0.25" top="0.5" bottom="0.5" header="0.25" footer="0.25"/>
  <pageSetup paperSize="9" scale="93"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99ecbc3-0168-44f0-a28d-7982938d4cff">
      <Terms xmlns="http://schemas.microsoft.com/office/infopath/2007/PartnerControls"/>
    </lcf76f155ced4ddcb4097134ff3c332f>
    <TaxCatchAll xmlns="414284d3-b81a-477d-be6f-a5da74d7c1d5" xsi:nil="true"/>
    <OpportunityName xmlns="199ecbc3-0168-44f0-a28d-7982938d4cff"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B358CDC6B8C1447B1B542AC5F0639D6" ma:contentTypeVersion="12" ma:contentTypeDescription="Create a new document." ma:contentTypeScope="" ma:versionID="b0d8a3e7e4f607dc468da5a9c589f285">
  <xsd:schema xmlns:xsd="http://www.w3.org/2001/XMLSchema" xmlns:xs="http://www.w3.org/2001/XMLSchema" xmlns:p="http://schemas.microsoft.com/office/2006/metadata/properties" xmlns:ns2="199ecbc3-0168-44f0-a28d-7982938d4cff" xmlns:ns3="414284d3-b81a-477d-be6f-a5da74d7c1d5" targetNamespace="http://schemas.microsoft.com/office/2006/metadata/properties" ma:root="true" ma:fieldsID="db54b57585451012bb5f040698ffac5a" ns2:_="" ns3:_="">
    <xsd:import namespace="199ecbc3-0168-44f0-a28d-7982938d4cff"/>
    <xsd:import namespace="414284d3-b81a-477d-be6f-a5da74d7c1d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element ref="ns2:OpportunityNam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9ecbc3-0168-44f0-a28d-7982938d4cf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8ff67281-f08c-41a0-8abc-c7c0b884725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OpportunityName" ma:index="19" nillable="true" ma:displayName="Opportunity Name" ma:format="Dropdown" ma:internalName="OpportunityNam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14284d3-b81a-477d-be6f-a5da74d7c1d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0bbe471-2e04-493e-8f60-db5f5804d588}" ma:internalName="TaxCatchAll" ma:showField="CatchAllData" ma:web="414284d3-b81a-477d-be6f-a5da74d7c1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BC05764-AD09-4935-955E-FAC6F1DFB52D}">
  <ds:schemaRefs>
    <ds:schemaRef ds:uri="http://schemas.microsoft.com/office/2006/metadata/properties"/>
    <ds:schemaRef ds:uri="http://schemas.microsoft.com/office/infopath/2007/PartnerControls"/>
    <ds:schemaRef ds:uri="199ecbc3-0168-44f0-a28d-7982938d4cff"/>
    <ds:schemaRef ds:uri="414284d3-b81a-477d-be6f-a5da74d7c1d5"/>
  </ds:schemaRefs>
</ds:datastoreItem>
</file>

<file path=customXml/itemProps2.xml><?xml version="1.0" encoding="utf-8"?>
<ds:datastoreItem xmlns:ds="http://schemas.openxmlformats.org/officeDocument/2006/customXml" ds:itemID="{F57A33FB-070C-47DD-B502-66009B27E014}">
  <ds:schemaRefs>
    <ds:schemaRef ds:uri="http://schemas.microsoft.com/sharepoint/v3/contenttype/forms"/>
  </ds:schemaRefs>
</ds:datastoreItem>
</file>

<file path=customXml/itemProps3.xml><?xml version="1.0" encoding="utf-8"?>
<ds:datastoreItem xmlns:ds="http://schemas.openxmlformats.org/officeDocument/2006/customXml" ds:itemID="{03F6B450-6BDE-45B1-9D20-5E7100901F0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99ecbc3-0168-44f0-a28d-7982938d4cff"/>
    <ds:schemaRef ds:uri="414284d3-b81a-477d-be6f-a5da74d7c1d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Cover Letter</vt:lpstr>
      <vt:lpstr>Firm Rev-00</vt:lpstr>
      <vt:lpstr>'Cover Letter'!Print_Area</vt:lpstr>
      <vt:lpstr>'Firm Rev-00'!Print_Area</vt:lpstr>
    </vt:vector>
  </TitlesOfParts>
  <Manager/>
  <Company>Meggitt India Private Limited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 J Swaminathan</dc:creator>
  <cp:keywords/>
  <dc:description/>
  <cp:lastModifiedBy>Ruthvik Satish</cp:lastModifiedBy>
  <cp:revision/>
  <dcterms:created xsi:type="dcterms:W3CDTF">2008-12-12T10:34:15Z</dcterms:created>
  <dcterms:modified xsi:type="dcterms:W3CDTF">2026-08-14T08:43:55Z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0x0101001B358CDC6B8C1447B1B542AC5F0639D6</vt:lpwstr>
  </property>
  <property fmtid="{D5CDD505-2E9C-101B-9397-08002B2CF9AE}" pid="3" name="MediaServiceImageTags">
    <vt:lpwstr/>
  </property>
</Properties>
</file>